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bdul\Downloads\"/>
    </mc:Choice>
  </mc:AlternateContent>
  <xr:revisionPtr revIDLastSave="0" documentId="13_ncr:1_{C443F1C0-C75E-4974-8900-21C0799E943E}" xr6:coauthVersionLast="47" xr6:coauthVersionMax="47" xr10:uidLastSave="{00000000-0000-0000-0000-000000000000}"/>
  <bookViews>
    <workbookView xWindow="-108" yWindow="-108" windowWidth="23256" windowHeight="12456" xr2:uid="{00000000-000D-0000-FFFF-FFFF00000000}"/>
  </bookViews>
  <sheets>
    <sheet name="Dashboard" sheetId="24" r:id="rId1"/>
    <sheet name="Total Sales" sheetId="18" r:id="rId2"/>
    <sheet name="Country Chart" sheetId="22" r:id="rId3"/>
    <sheet name="Top Customer"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Loyalty_Card1">#N/A</definedName>
    <definedName name="Slicer_Loyalty_Card11">#N/A</definedName>
    <definedName name="Slicer_Roast_Type_Name">#N/A</definedName>
    <definedName name="Slicer_Size">#N/A</definedName>
  </definedNames>
  <calcPr calcId="191028"/>
  <pivotCaches>
    <pivotCache cacheId="19"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O75" i="17"/>
  <c r="M5" i="17"/>
  <c r="M8" i="17"/>
  <c r="M10" i="17"/>
  <c r="M11" i="17"/>
  <c r="M12" i="17"/>
  <c r="M23" i="17"/>
  <c r="M24" i="17"/>
  <c r="M25" i="17"/>
  <c r="M34" i="17"/>
  <c r="M46" i="17"/>
  <c r="M47" i="17"/>
  <c r="M60" i="17"/>
  <c r="M67" i="17"/>
  <c r="M68" i="17"/>
  <c r="M72" i="17"/>
  <c r="M104" i="17"/>
  <c r="M106" i="17"/>
  <c r="M107" i="17"/>
  <c r="M119" i="17"/>
  <c r="M120" i="17"/>
  <c r="M130" i="17"/>
  <c r="M131" i="17"/>
  <c r="M141" i="17"/>
  <c r="M143" i="17"/>
  <c r="M144" i="17"/>
  <c r="M151" i="17"/>
  <c r="M167" i="17"/>
  <c r="M168" i="17"/>
  <c r="M169" i="17"/>
  <c r="M180" i="17"/>
  <c r="M191" i="17"/>
  <c r="M202" i="17"/>
  <c r="M203" i="17"/>
  <c r="M204" i="17"/>
  <c r="M215" i="17"/>
  <c r="M216" i="17"/>
  <c r="M234" i="17"/>
  <c r="M242" i="17"/>
  <c r="M251" i="17"/>
  <c r="M259" i="17"/>
  <c r="M275" i="17"/>
  <c r="M276" i="17"/>
  <c r="M287" i="17"/>
  <c r="M288" i="17"/>
  <c r="M296" i="17"/>
  <c r="M311" i="17"/>
  <c r="M312" i="17"/>
  <c r="M313" i="17"/>
  <c r="M324" i="17"/>
  <c r="M327" i="17"/>
  <c r="M346" i="17"/>
  <c r="M347" i="17"/>
  <c r="M348" i="17"/>
  <c r="M359" i="17"/>
  <c r="M360" i="17"/>
  <c r="M372" i="17"/>
  <c r="M382" i="17"/>
  <c r="M395" i="17"/>
  <c r="M407" i="17"/>
  <c r="M408" i="17"/>
  <c r="M419" i="17"/>
  <c r="M430" i="17"/>
  <c r="M431" i="17"/>
  <c r="M432" i="17"/>
  <c r="M443" i="17"/>
  <c r="M444" i="17"/>
  <c r="M455" i="17"/>
  <c r="M466" i="17"/>
  <c r="M468" i="17"/>
  <c r="M479" i="17"/>
  <c r="M482" i="17"/>
  <c r="M503" i="17"/>
  <c r="M504" i="17"/>
  <c r="M512" i="17"/>
  <c r="M538" i="17"/>
  <c r="M539" i="17"/>
  <c r="M551" i="17"/>
  <c r="M552" i="17"/>
  <c r="M563" i="17"/>
  <c r="M575" i="17"/>
  <c r="M583" i="17"/>
  <c r="M587" i="17"/>
  <c r="M599" i="17"/>
  <c r="M608" i="17"/>
  <c r="M623" i="17"/>
  <c r="M635" i="17"/>
  <c r="M659" i="17"/>
  <c r="M671" i="17"/>
  <c r="M683" i="17"/>
  <c r="M707" i="17"/>
  <c r="M719" i="17"/>
  <c r="M720" i="17"/>
  <c r="M731" i="17"/>
  <c r="M749" i="17"/>
  <c r="M755" i="17"/>
  <c r="M767" i="17"/>
  <c r="M779" i="17"/>
  <c r="M785" i="17"/>
  <c r="M797" i="17"/>
  <c r="M803" i="17"/>
  <c r="M815" i="17"/>
  <c r="M827" i="17"/>
  <c r="M833" i="17"/>
  <c r="M851" i="17"/>
  <c r="M863" i="17"/>
  <c r="M875" i="17"/>
  <c r="M887" i="17"/>
  <c r="M911" i="17"/>
  <c r="M923" i="17"/>
  <c r="M935" i="17"/>
  <c r="M943" i="17"/>
  <c r="M947" i="17"/>
  <c r="M959" i="17"/>
  <c r="M983" i="17"/>
  <c r="M995" i="17"/>
  <c r="M2" i="17"/>
  <c r="L3" i="17"/>
  <c r="M3" i="17" s="1"/>
  <c r="L4" i="17"/>
  <c r="M4" i="17" s="1"/>
  <c r="L5" i="17"/>
  <c r="L6" i="17"/>
  <c r="M6" i="17" s="1"/>
  <c r="L7" i="17"/>
  <c r="M7" i="17" s="1"/>
  <c r="L8" i="17"/>
  <c r="L9" i="17"/>
  <c r="M9" i="17" s="1"/>
  <c r="L10" i="17"/>
  <c r="L11" i="17"/>
  <c r="L12" i="17"/>
  <c r="L13" i="17"/>
  <c r="M13" i="17" s="1"/>
  <c r="L14" i="17"/>
  <c r="M14" i="17" s="1"/>
  <c r="L15" i="17"/>
  <c r="M15" i="17" s="1"/>
  <c r="L16" i="17"/>
  <c r="M16" i="17" s="1"/>
  <c r="L17" i="17"/>
  <c r="M17" i="17" s="1"/>
  <c r="L18" i="17"/>
  <c r="M18" i="17" s="1"/>
  <c r="L19" i="17"/>
  <c r="M19" i="17" s="1"/>
  <c r="L20" i="17"/>
  <c r="M20" i="17" s="1"/>
  <c r="L21" i="17"/>
  <c r="M21" i="17" s="1"/>
  <c r="L22" i="17"/>
  <c r="M22" i="17" s="1"/>
  <c r="L23" i="17"/>
  <c r="L24" i="17"/>
  <c r="L25" i="17"/>
  <c r="L26" i="17"/>
  <c r="M26" i="17" s="1"/>
  <c r="L27" i="17"/>
  <c r="M27" i="17" s="1"/>
  <c r="L28" i="17"/>
  <c r="M28" i="17" s="1"/>
  <c r="L29" i="17"/>
  <c r="M29" i="17" s="1"/>
  <c r="L30" i="17"/>
  <c r="M30" i="17" s="1"/>
  <c r="L31" i="17"/>
  <c r="M31" i="17" s="1"/>
  <c r="L32" i="17"/>
  <c r="M32" i="17" s="1"/>
  <c r="L33" i="17"/>
  <c r="M33" i="17" s="1"/>
  <c r="L34" i="17"/>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L47" i="17"/>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L61" i="17"/>
  <c r="M61" i="17" s="1"/>
  <c r="L62" i="17"/>
  <c r="M62" i="17" s="1"/>
  <c r="L63" i="17"/>
  <c r="M63" i="17" s="1"/>
  <c r="L64" i="17"/>
  <c r="M64" i="17" s="1"/>
  <c r="L65" i="17"/>
  <c r="M65" i="17" s="1"/>
  <c r="L66" i="17"/>
  <c r="M66" i="17" s="1"/>
  <c r="L67" i="17"/>
  <c r="L68" i="17"/>
  <c r="L69" i="17"/>
  <c r="M69" i="17" s="1"/>
  <c r="L70" i="17"/>
  <c r="M70" i="17" s="1"/>
  <c r="L71" i="17"/>
  <c r="M71" i="17" s="1"/>
  <c r="L72" i="17"/>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L105" i="17"/>
  <c r="M105" i="17" s="1"/>
  <c r="L106" i="17"/>
  <c r="L107" i="17"/>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L120" i="17"/>
  <c r="L121" i="17"/>
  <c r="M121" i="17" s="1"/>
  <c r="L122" i="17"/>
  <c r="M122" i="17" s="1"/>
  <c r="L123" i="17"/>
  <c r="M123" i="17" s="1"/>
  <c r="L124" i="17"/>
  <c r="M124" i="17" s="1"/>
  <c r="L125" i="17"/>
  <c r="M125" i="17" s="1"/>
  <c r="L126" i="17"/>
  <c r="M126" i="17" s="1"/>
  <c r="L127" i="17"/>
  <c r="M127" i="17" s="1"/>
  <c r="L128" i="17"/>
  <c r="M128" i="17" s="1"/>
  <c r="L129" i="17"/>
  <c r="M129" i="17" s="1"/>
  <c r="L130" i="17"/>
  <c r="L131" i="17"/>
  <c r="L132" i="17"/>
  <c r="M132" i="17" s="1"/>
  <c r="L133" i="17"/>
  <c r="M133" i="17" s="1"/>
  <c r="L134" i="17"/>
  <c r="M134" i="17" s="1"/>
  <c r="L135" i="17"/>
  <c r="M135" i="17" s="1"/>
  <c r="L136" i="17"/>
  <c r="M136" i="17" s="1"/>
  <c r="L137" i="17"/>
  <c r="M137" i="17" s="1"/>
  <c r="L138" i="17"/>
  <c r="M138" i="17" s="1"/>
  <c r="L139" i="17"/>
  <c r="M139" i="17" s="1"/>
  <c r="L140" i="17"/>
  <c r="M140" i="17" s="1"/>
  <c r="L141" i="17"/>
  <c r="L142" i="17"/>
  <c r="M142" i="17" s="1"/>
  <c r="L143" i="17"/>
  <c r="L144" i="17"/>
  <c r="L145" i="17"/>
  <c r="M145" i="17" s="1"/>
  <c r="L146" i="17"/>
  <c r="M146" i="17" s="1"/>
  <c r="L147" i="17"/>
  <c r="M147" i="17" s="1"/>
  <c r="L148" i="17"/>
  <c r="M148" i="17" s="1"/>
  <c r="L149" i="17"/>
  <c r="M149" i="17" s="1"/>
  <c r="L150" i="17"/>
  <c r="M150" i="17" s="1"/>
  <c r="L151" i="17"/>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L168" i="17"/>
  <c r="L169" i="17"/>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L203" i="17"/>
  <c r="L204" i="17"/>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L216" i="17"/>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L235" i="17"/>
  <c r="M235" i="17" s="1"/>
  <c r="L236" i="17"/>
  <c r="M236" i="17" s="1"/>
  <c r="L237" i="17"/>
  <c r="M237" i="17" s="1"/>
  <c r="L238" i="17"/>
  <c r="M238" i="17" s="1"/>
  <c r="L239" i="17"/>
  <c r="M239" i="17" s="1"/>
  <c r="L240" i="17"/>
  <c r="M240" i="17" s="1"/>
  <c r="L241" i="17"/>
  <c r="M241" i="17" s="1"/>
  <c r="L242" i="17"/>
  <c r="L243" i="17"/>
  <c r="M243" i="17" s="1"/>
  <c r="L244" i="17"/>
  <c r="M244" i="17" s="1"/>
  <c r="L245" i="17"/>
  <c r="M245" i="17" s="1"/>
  <c r="L246" i="17"/>
  <c r="M246" i="17" s="1"/>
  <c r="L247" i="17"/>
  <c r="M247" i="17" s="1"/>
  <c r="L248" i="17"/>
  <c r="M248" i="17" s="1"/>
  <c r="L249" i="17"/>
  <c r="M249" i="17" s="1"/>
  <c r="L250" i="17"/>
  <c r="M250" i="17" s="1"/>
  <c r="L251" i="17"/>
  <c r="L252" i="17"/>
  <c r="M252" i="17" s="1"/>
  <c r="L253" i="17"/>
  <c r="M253" i="17" s="1"/>
  <c r="L254" i="17"/>
  <c r="M254" i="17" s="1"/>
  <c r="L255" i="17"/>
  <c r="M255" i="17" s="1"/>
  <c r="L256" i="17"/>
  <c r="M256" i="17" s="1"/>
  <c r="L257" i="17"/>
  <c r="M257" i="17" s="1"/>
  <c r="L258" i="17"/>
  <c r="M258" i="17" s="1"/>
  <c r="L259" i="17"/>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L276" i="17"/>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L288" i="17"/>
  <c r="L289" i="17"/>
  <c r="M289" i="17" s="1"/>
  <c r="L290" i="17"/>
  <c r="M290" i="17" s="1"/>
  <c r="L291" i="17"/>
  <c r="M291" i="17" s="1"/>
  <c r="L292" i="17"/>
  <c r="M292" i="17" s="1"/>
  <c r="L293" i="17"/>
  <c r="M293" i="17" s="1"/>
  <c r="L294" i="17"/>
  <c r="M294" i="17" s="1"/>
  <c r="L295" i="17"/>
  <c r="M295" i="17" s="1"/>
  <c r="L296" i="17"/>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L312" i="17"/>
  <c r="L313" i="17"/>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L325" i="17"/>
  <c r="M325" i="17" s="1"/>
  <c r="L326" i="17"/>
  <c r="M326" i="17" s="1"/>
  <c r="L327" i="17"/>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L347" i="17"/>
  <c r="L348" i="17"/>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L360" i="17"/>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L373" i="17"/>
  <c r="M373" i="17" s="1"/>
  <c r="L374" i="17"/>
  <c r="M374" i="17" s="1"/>
  <c r="L375" i="17"/>
  <c r="M375" i="17" s="1"/>
  <c r="L376" i="17"/>
  <c r="M376" i="17" s="1"/>
  <c r="L377" i="17"/>
  <c r="M377" i="17" s="1"/>
  <c r="L378" i="17"/>
  <c r="M378" i="17" s="1"/>
  <c r="L379" i="17"/>
  <c r="M379" i="17" s="1"/>
  <c r="L380" i="17"/>
  <c r="M380" i="17" s="1"/>
  <c r="L381" i="17"/>
  <c r="M381" i="17" s="1"/>
  <c r="L382" i="17"/>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L408" i="17"/>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L431" i="17"/>
  <c r="L432" i="17"/>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L444" i="17"/>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L467" i="17"/>
  <c r="M467" i="17" s="1"/>
  <c r="L468" i="17"/>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L480" i="17"/>
  <c r="M480" i="17" s="1"/>
  <c r="L481" i="17"/>
  <c r="M481" i="17" s="1"/>
  <c r="L482" i="17"/>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L504" i="17"/>
  <c r="L505" i="17"/>
  <c r="M505" i="17" s="1"/>
  <c r="L506" i="17"/>
  <c r="M506" i="17" s="1"/>
  <c r="L507" i="17"/>
  <c r="M507" i="17" s="1"/>
  <c r="L508" i="17"/>
  <c r="M508" i="17" s="1"/>
  <c r="L509" i="17"/>
  <c r="M509" i="17" s="1"/>
  <c r="L510" i="17"/>
  <c r="M510" i="17" s="1"/>
  <c r="L511" i="17"/>
  <c r="M511" i="17" s="1"/>
  <c r="L512" i="17"/>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L539" i="17"/>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L552" i="17"/>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L576" i="17"/>
  <c r="M576" i="17" s="1"/>
  <c r="L577" i="17"/>
  <c r="M577" i="17" s="1"/>
  <c r="L578" i="17"/>
  <c r="M578" i="17" s="1"/>
  <c r="L579" i="17"/>
  <c r="M579" i="17" s="1"/>
  <c r="L580" i="17"/>
  <c r="M580" i="17" s="1"/>
  <c r="L581" i="17"/>
  <c r="M581" i="17" s="1"/>
  <c r="L582" i="17"/>
  <c r="M582" i="17" s="1"/>
  <c r="L583" i="17"/>
  <c r="L584" i="17"/>
  <c r="M584" i="17" s="1"/>
  <c r="L585" i="17"/>
  <c r="M585" i="17" s="1"/>
  <c r="L586" i="17"/>
  <c r="M586" i="17" s="1"/>
  <c r="L587" i="17"/>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L600" i="17"/>
  <c r="M600" i="17" s="1"/>
  <c r="L601" i="17"/>
  <c r="M601" i="17" s="1"/>
  <c r="L602" i="17"/>
  <c r="M602" i="17" s="1"/>
  <c r="L603" i="17"/>
  <c r="M603" i="17" s="1"/>
  <c r="L604" i="17"/>
  <c r="M604" i="17" s="1"/>
  <c r="L605" i="17"/>
  <c r="M605" i="17" s="1"/>
  <c r="L606" i="17"/>
  <c r="M606" i="17" s="1"/>
  <c r="L607" i="17"/>
  <c r="M607" i="17" s="1"/>
  <c r="L608" i="17"/>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L720" i="17"/>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L750" i="17"/>
  <c r="M750" i="17" s="1"/>
  <c r="L751" i="17"/>
  <c r="M751" i="17" s="1"/>
  <c r="L752" i="17"/>
  <c r="M752" i="17" s="1"/>
  <c r="L753" i="17"/>
  <c r="M753" i="17" s="1"/>
  <c r="L754" i="17"/>
  <c r="M754" i="17" s="1"/>
  <c r="L755" i="17"/>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L780" i="17"/>
  <c r="M780" i="17" s="1"/>
  <c r="L781" i="17"/>
  <c r="M781" i="17" s="1"/>
  <c r="L782" i="17"/>
  <c r="M782" i="17" s="1"/>
  <c r="L783" i="17"/>
  <c r="M783" i="17" s="1"/>
  <c r="L784" i="17"/>
  <c r="M784" i="17" s="1"/>
  <c r="L785" i="17"/>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L798" i="17"/>
  <c r="M798" i="17" s="1"/>
  <c r="L799" i="17"/>
  <c r="M799" i="17" s="1"/>
  <c r="L800" i="17"/>
  <c r="M800" i="17" s="1"/>
  <c r="L801" i="17"/>
  <c r="M801" i="17" s="1"/>
  <c r="L802" i="17"/>
  <c r="M802" i="17" s="1"/>
  <c r="L803" i="17"/>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L828" i="17"/>
  <c r="M828" i="17" s="1"/>
  <c r="L829" i="17"/>
  <c r="M829" i="17" s="1"/>
  <c r="L830" i="17"/>
  <c r="M830" i="17" s="1"/>
  <c r="L831" i="17"/>
  <c r="M831" i="17" s="1"/>
  <c r="L832" i="17"/>
  <c r="M832" i="17" s="1"/>
  <c r="L833" i="17"/>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L936" i="17"/>
  <c r="M936" i="17" s="1"/>
  <c r="L937" i="17"/>
  <c r="M937" i="17" s="1"/>
  <c r="L938" i="17"/>
  <c r="M938" i="17" s="1"/>
  <c r="L939" i="17"/>
  <c r="M939" i="17" s="1"/>
  <c r="L940" i="17"/>
  <c r="M940" i="17" s="1"/>
  <c r="L941" i="17"/>
  <c r="M941" i="17" s="1"/>
  <c r="L942" i="17"/>
  <c r="M942" i="17" s="1"/>
  <c r="L943" i="17"/>
  <c r="L944" i="17"/>
  <c r="M944" i="17" s="1"/>
  <c r="L945" i="17"/>
  <c r="M945" i="17" s="1"/>
  <c r="L946" i="17"/>
  <c r="M946" i="17" s="1"/>
  <c r="L947" i="17"/>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L996" i="17"/>
  <c r="M996" i="17" s="1"/>
  <c r="L997" i="17"/>
  <c r="M997" i="17" s="1"/>
  <c r="L998" i="17"/>
  <c r="M998" i="17" s="1"/>
  <c r="L999" i="17"/>
  <c r="M999" i="17" s="1"/>
  <c r="L1000" i="17"/>
  <c r="M1000" i="17" s="1"/>
  <c r="L1001" i="17"/>
  <c r="M1001" i="17" s="1"/>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2" i="17"/>
  <c r="O2" i="17" s="1"/>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<sst xmlns="http://schemas.openxmlformats.org/spreadsheetml/2006/main" count="11128" uniqueCount="6221">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</sst>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font>
        <b/>
        <i val="0"/>
        <color theme="0"/>
        <name val="Calibri"/>
        <family val="2"/>
        <scheme val="minor"/>
      </font>
    </dxf>
    <dxf>
      <fill>
        <patternFill>
          <bgColor rgb="FF3C1464"/>
        </patternFill>
      </fill>
    </dxf>
    <dxf>
      <numFmt numFmtId="0" formatCode="General"/>
    </dxf>
    <dxf>
      <font>
        <b/>
        <i val="0"/>
        <sz val="11"/>
        <color theme="0"/>
        <name val="Calibri"/>
        <family val="2"/>
        <scheme val="minor"/>
      </font>
    </dxf>
    <dxf>
      <font>
        <b/>
        <i val="0"/>
        <sz val="1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licer Style 1" pivot="0" table="0" count="6" xr9:uid="{61B24C23-18D7-4FD9-A7C3-0864C2DA1DA1}">
      <tableStyleElement type="wholeTable" dxfId="1"/>
      <tableStyleElement type="headerRow" dxfId="0"/>
    </tableStyle>
    <tableStyle name="Timeline Style 1" pivot="0" table="0" count="8" xr9:uid="{8E16FED6-3340-4F5D-9FC3-FDE168B13ECB}">
      <tableStyleElement type="wholeTable" dxfId="4"/>
      <tableStyleElement type="headerRow" dxfId="3"/>
    </tableStyle>
  </tableStyles>
  <colors>
    <mruColors>
      <color rgb="FF3C1464"/>
      <color rgb="FF04B404"/>
      <color rgb="FF026602"/>
      <color rgb="FF06FA06"/>
      <color rgb="FF944DDB"/>
      <color rgb="FFA5B10B"/>
      <color rgb="FF9D9A1E"/>
      <color rgb="FF5DED7C"/>
      <color rgb="FFFA2424"/>
      <color rgb="FF2BBFD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tint="-0.14996795556505021"/>
            <name val="Calibri"/>
            <family val="2"/>
            <scheme val="minor"/>
          </font>
        </dxf>
        <dxf>
          <font>
            <b val="0"/>
            <i val="0"/>
            <color theme="0" tint="-0.14996795556505021"/>
            <name val="Calibri"/>
            <family val="2"/>
            <scheme val="minor"/>
          </font>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944DDB"/>
            </patternFill>
          </fill>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Over 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7AB-4B3B-8BF7-D025C6B22DD8}"/>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7AB-4B3B-8BF7-D025C6B22DD8}"/>
            </c:ext>
          </c:extLst>
        </c:ser>
        <c:ser>
          <c:idx val="2"/>
          <c:order val="2"/>
          <c:tx>
            <c:strRef>
              <c:f>'Total Sales'!$E$3:$E$4</c:f>
              <c:strCache>
                <c:ptCount val="1"/>
                <c:pt idx="0">
                  <c:v>Liberica</c:v>
                </c:pt>
              </c:strCache>
            </c:strRef>
          </c:tx>
          <c:spPr>
            <a:ln w="28575" cap="rnd">
              <a:solidFill>
                <a:schemeClr val="bg2">
                  <a:lumMod val="5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7AB-4B3B-8BF7-D025C6B22DD8}"/>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7AB-4B3B-8BF7-D025C6B22DD8}"/>
            </c:ext>
          </c:extLst>
        </c:ser>
        <c:dLbls>
          <c:showLegendKey val="0"/>
          <c:showVal val="0"/>
          <c:showCatName val="0"/>
          <c:showSerName val="0"/>
          <c:showPercent val="0"/>
          <c:showBubbleSize val="0"/>
        </c:dLbls>
        <c:smooth val="0"/>
        <c:axId val="978877392"/>
        <c:axId val="978866352"/>
      </c:lineChart>
      <c:catAx>
        <c:axId val="97887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66352"/>
        <c:crosses val="autoZero"/>
        <c:auto val="1"/>
        <c:lblAlgn val="ctr"/>
        <c:lblOffset val="100"/>
        <c:noMultiLvlLbl val="0"/>
      </c:catAx>
      <c:valAx>
        <c:axId val="97886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7887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C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Chart!Total 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6FA0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1"/>
        <c:spPr>
          <a:solidFill>
            <a:srgbClr val="026602"/>
          </a:solidFill>
          <a:ln w="25400">
            <a:solidFill>
              <a:schemeClr val="bg1"/>
            </a:solidFill>
          </a:ln>
          <a:effectLst/>
        </c:spPr>
      </c:pivotFmt>
      <c:pivotFmt>
        <c:idx val="2"/>
        <c:spPr>
          <a:solidFill>
            <a:srgbClr val="04B404"/>
          </a:solidFill>
          <a:ln w="25400">
            <a:solidFill>
              <a:schemeClr val="bg1"/>
            </a:solidFill>
          </a:ln>
          <a:effectLst/>
        </c:spPr>
      </c:pivotFmt>
      <c:pivotFmt>
        <c:idx val="3"/>
        <c:spPr>
          <a:solidFill>
            <a:srgbClr val="06FA06"/>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4"/>
        <c:spPr>
          <a:solidFill>
            <a:srgbClr val="04B404"/>
          </a:solidFill>
          <a:ln w="25400">
            <a:solidFill>
              <a:schemeClr val="bg1"/>
            </a:solidFill>
          </a:ln>
          <a:effectLst/>
        </c:spPr>
      </c:pivotFmt>
      <c:pivotFmt>
        <c:idx val="5"/>
        <c:spPr>
          <a:solidFill>
            <a:srgbClr val="026602"/>
          </a:solidFill>
          <a:ln w="25400">
            <a:solidFill>
              <a:schemeClr val="bg1"/>
            </a:solidFill>
          </a:ln>
          <a:effectLst/>
        </c:spPr>
      </c:pivotFmt>
      <c:pivotFmt>
        <c:idx val="6"/>
        <c:spPr>
          <a:solidFill>
            <a:srgbClr val="06FA0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4B404"/>
          </a:solidFill>
          <a:ln w="25400">
            <a:solidFill>
              <a:schemeClr val="bg1"/>
            </a:solidFill>
          </a:ln>
          <a:effectLst/>
        </c:spPr>
      </c:pivotFmt>
      <c:pivotFmt>
        <c:idx val="8"/>
        <c:spPr>
          <a:solidFill>
            <a:srgbClr val="026602"/>
          </a:solidFill>
          <a:ln w="25400">
            <a:solidFill>
              <a:schemeClr val="bg1"/>
            </a:solidFill>
          </a:ln>
          <a:effectLst/>
        </c:spPr>
      </c:pivotFmt>
    </c:pivotFmts>
    <c:plotArea>
      <c:layout/>
      <c:barChart>
        <c:barDir val="bar"/>
        <c:grouping val="stacked"/>
        <c:varyColors val="0"/>
        <c:ser>
          <c:idx val="0"/>
          <c:order val="0"/>
          <c:tx>
            <c:strRef>
              <c:f>'Country Chart'!$B$3</c:f>
              <c:strCache>
                <c:ptCount val="1"/>
                <c:pt idx="0">
                  <c:v>Total</c:v>
                </c:pt>
              </c:strCache>
            </c:strRef>
          </c:tx>
          <c:spPr>
            <a:solidFill>
              <a:srgbClr val="06FA06"/>
            </a:solidFill>
            <a:ln w="25400">
              <a:solidFill>
                <a:schemeClr val="bg1"/>
              </a:solidFill>
            </a:ln>
            <a:effectLst/>
          </c:spPr>
          <c:invertIfNegative val="0"/>
          <c:dPt>
            <c:idx val="1"/>
            <c:invertIfNegative val="0"/>
            <c:bubble3D val="0"/>
            <c:spPr>
              <a:solidFill>
                <a:srgbClr val="04B404"/>
              </a:solidFill>
              <a:ln w="25400">
                <a:solidFill>
                  <a:schemeClr val="bg1"/>
                </a:solidFill>
              </a:ln>
              <a:effectLst/>
            </c:spPr>
            <c:extLst>
              <c:ext xmlns:c16="http://schemas.microsoft.com/office/drawing/2014/chart" uri="{C3380CC4-5D6E-409C-BE32-E72D297353CC}">
                <c16:uniqueId val="{00000001-9DFF-40FB-BAB2-152F438B13C9}"/>
              </c:ext>
            </c:extLst>
          </c:dPt>
          <c:dPt>
            <c:idx val="2"/>
            <c:invertIfNegative val="0"/>
            <c:bubble3D val="0"/>
            <c:spPr>
              <a:solidFill>
                <a:srgbClr val="026602"/>
              </a:solidFill>
              <a:ln w="25400">
                <a:solidFill>
                  <a:schemeClr val="bg1"/>
                </a:solidFill>
              </a:ln>
              <a:effectLst/>
            </c:spPr>
            <c:extLst>
              <c:ext xmlns:c16="http://schemas.microsoft.com/office/drawing/2014/chart" uri="{C3380CC4-5D6E-409C-BE32-E72D297353CC}">
                <c16:uniqueId val="{00000003-9DFF-40FB-BAB2-152F438B13C9}"/>
              </c:ext>
            </c:extLst>
          </c:dPt>
          <c:cat>
            <c:strRef>
              <c:f>'Country Chart'!$A$4:$A$6</c:f>
              <c:strCache>
                <c:ptCount val="3"/>
                <c:pt idx="0">
                  <c:v>United Kingdom</c:v>
                </c:pt>
                <c:pt idx="1">
                  <c:v>Ireland</c:v>
                </c:pt>
                <c:pt idx="2">
                  <c:v>United States</c:v>
                </c:pt>
              </c:strCache>
            </c:strRef>
          </c:cat>
          <c:val>
            <c:numRef>
              <c:f>'Country Chart'!$B$4:$B$6</c:f>
              <c:numCache>
                <c:formatCode>0_ ;\-0\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9DFF-40FB-BAB2-152F438B13C9}"/>
            </c:ext>
          </c:extLst>
        </c:ser>
        <c:dLbls>
          <c:showLegendKey val="0"/>
          <c:showVal val="0"/>
          <c:showCatName val="0"/>
          <c:showSerName val="0"/>
          <c:showPercent val="0"/>
          <c:showBubbleSize val="0"/>
        </c:dLbls>
        <c:gapWidth val="150"/>
        <c:overlap val="100"/>
        <c:axId val="1418048720"/>
        <c:axId val="1418049200"/>
      </c:barChart>
      <c:catAx>
        <c:axId val="141804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18049200"/>
        <c:crosses val="autoZero"/>
        <c:auto val="1"/>
        <c:lblAlgn val="ctr"/>
        <c:lblOffset val="100"/>
        <c:noMultiLvlLbl val="0"/>
      </c:catAx>
      <c:valAx>
        <c:axId val="1418049200"/>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1804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CEE"/>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Customer!Total Sales</c:name>
    <c:fmtId val="1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6FA0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6602"/>
          </a:solidFill>
          <a:ln w="25400">
            <a:solidFill>
              <a:schemeClr val="bg1"/>
            </a:solidFill>
          </a:ln>
          <a:effectLst/>
        </c:spPr>
      </c:pivotFmt>
      <c:pivotFmt>
        <c:idx val="2"/>
        <c:spPr>
          <a:solidFill>
            <a:srgbClr val="04B404"/>
          </a:solidFill>
          <a:ln w="25400">
            <a:solidFill>
              <a:schemeClr val="bg1"/>
            </a:solidFill>
          </a:ln>
          <a:effectLst/>
        </c:spPr>
      </c:pivotFmt>
      <c:pivotFmt>
        <c:idx val="3"/>
        <c:spPr>
          <a:solidFill>
            <a:srgbClr val="06FA0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B404"/>
          </a:solidFill>
          <a:ln w="25400">
            <a:solidFill>
              <a:schemeClr val="bg1"/>
            </a:solidFill>
          </a:ln>
          <a:effectLst/>
        </c:spPr>
      </c:pivotFmt>
      <c:pivotFmt>
        <c:idx val="5"/>
        <c:spPr>
          <a:solidFill>
            <a:srgbClr val="026602"/>
          </a:solidFill>
          <a:ln w="25400">
            <a:solidFill>
              <a:schemeClr val="bg1"/>
            </a:solidFill>
          </a:ln>
          <a:effectLst/>
        </c:spPr>
      </c:pivotFmt>
      <c:pivotFmt>
        <c:idx val="6"/>
        <c:spPr>
          <a:solidFill>
            <a:srgbClr val="06FA0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6FA0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Customer'!$B$3</c:f>
              <c:strCache>
                <c:ptCount val="1"/>
                <c:pt idx="0">
                  <c:v>Total</c:v>
                </c:pt>
              </c:strCache>
            </c:strRef>
          </c:tx>
          <c:spPr>
            <a:solidFill>
              <a:srgbClr val="06FA06"/>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0-0537-4DB7-949C-5A6CFFDC43C3}"/>
              </c:ext>
            </c:extLst>
          </c:dPt>
          <c:dPt>
            <c:idx val="2"/>
            <c:invertIfNegative val="0"/>
            <c:bubble3D val="0"/>
            <c:extLst>
              <c:ext xmlns:c16="http://schemas.microsoft.com/office/drawing/2014/chart" uri="{C3380CC4-5D6E-409C-BE32-E72D297353CC}">
                <c16:uniqueId val="{00000001-0537-4DB7-949C-5A6CFFDC43C3}"/>
              </c:ext>
            </c:extLst>
          </c:dPt>
          <c:cat>
            <c:strRef>
              <c:f>'Top Customer'!$A$4:$A$8</c:f>
              <c:strCache>
                <c:ptCount val="5"/>
                <c:pt idx="0">
                  <c:v>Don Flintiff</c:v>
                </c:pt>
                <c:pt idx="1">
                  <c:v>Nealson Cuttler</c:v>
                </c:pt>
                <c:pt idx="2">
                  <c:v>Terri Farra</c:v>
                </c:pt>
                <c:pt idx="3">
                  <c:v>Brenn Dundredge</c:v>
                </c:pt>
                <c:pt idx="4">
                  <c:v>Allis Wilmore</c:v>
                </c:pt>
              </c:strCache>
            </c:strRef>
          </c:cat>
          <c:val>
            <c:numRef>
              <c:f>'Top Customer'!$B$4:$B$8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0537-4DB7-949C-5A6CFFDC43C3}"/>
            </c:ext>
          </c:extLst>
        </c:ser>
        <c:dLbls>
          <c:showLegendKey val="0"/>
          <c:showVal val="0"/>
          <c:showCatName val="0"/>
          <c:showSerName val="0"/>
          <c:showPercent val="0"/>
          <c:showBubbleSize val="0"/>
        </c:dLbls>
        <c:gapWidth val="150"/>
        <c:overlap val="100"/>
        <c:axId val="1418048720"/>
        <c:axId val="1418049200"/>
      </c:barChart>
      <c:catAx>
        <c:axId val="141804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18049200"/>
        <c:crosses val="autoZero"/>
        <c:auto val="1"/>
        <c:lblAlgn val="ctr"/>
        <c:lblOffset val="100"/>
        <c:noMultiLvlLbl val="0"/>
      </c:catAx>
      <c:valAx>
        <c:axId val="1418049200"/>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1804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CEE"/>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Over 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D42-40D3-873F-01B72C7ACAB2}"/>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D42-40D3-873F-01B72C7ACAB2}"/>
            </c:ext>
          </c:extLst>
        </c:ser>
        <c:ser>
          <c:idx val="2"/>
          <c:order val="2"/>
          <c:tx>
            <c:strRef>
              <c:f>'Total Sales'!$E$3:$E$4</c:f>
              <c:strCache>
                <c:ptCount val="1"/>
                <c:pt idx="0">
                  <c:v>Liberica</c:v>
                </c:pt>
              </c:strCache>
            </c:strRef>
          </c:tx>
          <c:spPr>
            <a:ln w="28575" cap="rnd">
              <a:solidFill>
                <a:schemeClr val="bg2">
                  <a:lumMod val="5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D42-40D3-873F-01B72C7ACAB2}"/>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D42-40D3-873F-01B72C7ACAB2}"/>
            </c:ext>
          </c:extLst>
        </c:ser>
        <c:dLbls>
          <c:showLegendKey val="0"/>
          <c:showVal val="0"/>
          <c:showCatName val="0"/>
          <c:showSerName val="0"/>
          <c:showPercent val="0"/>
          <c:showBubbleSize val="0"/>
        </c:dLbls>
        <c:smooth val="0"/>
        <c:axId val="978877392"/>
        <c:axId val="978866352"/>
      </c:lineChart>
      <c:catAx>
        <c:axId val="97887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66352"/>
        <c:crosses val="autoZero"/>
        <c:auto val="1"/>
        <c:lblAlgn val="ctr"/>
        <c:lblOffset val="100"/>
        <c:noMultiLvlLbl val="0"/>
      </c:catAx>
      <c:valAx>
        <c:axId val="97886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7887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C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Chart!Total 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6FA0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6602"/>
          </a:solidFill>
          <a:ln w="25400">
            <a:solidFill>
              <a:schemeClr val="bg1"/>
            </a:solidFill>
          </a:ln>
          <a:effectLst/>
        </c:spPr>
      </c:pivotFmt>
      <c:pivotFmt>
        <c:idx val="2"/>
        <c:spPr>
          <a:solidFill>
            <a:srgbClr val="04B404"/>
          </a:solidFill>
          <a:ln w="25400">
            <a:solidFill>
              <a:schemeClr val="bg1"/>
            </a:solidFill>
          </a:ln>
          <a:effectLst/>
        </c:spPr>
      </c:pivotFmt>
    </c:pivotFmts>
    <c:plotArea>
      <c:layout/>
      <c:barChart>
        <c:barDir val="bar"/>
        <c:grouping val="stacked"/>
        <c:varyColors val="0"/>
        <c:ser>
          <c:idx val="0"/>
          <c:order val="0"/>
          <c:tx>
            <c:strRef>
              <c:f>'Country Chart'!$B$3</c:f>
              <c:strCache>
                <c:ptCount val="1"/>
                <c:pt idx="0">
                  <c:v>Total</c:v>
                </c:pt>
              </c:strCache>
            </c:strRef>
          </c:tx>
          <c:spPr>
            <a:solidFill>
              <a:srgbClr val="06FA06"/>
            </a:solidFill>
            <a:ln w="25400">
              <a:solidFill>
                <a:schemeClr val="bg1"/>
              </a:solidFill>
            </a:ln>
            <a:effectLst/>
          </c:spPr>
          <c:invertIfNegative val="0"/>
          <c:dPt>
            <c:idx val="1"/>
            <c:invertIfNegative val="0"/>
            <c:bubble3D val="0"/>
            <c:spPr>
              <a:solidFill>
                <a:srgbClr val="04B404"/>
              </a:solidFill>
              <a:ln w="25400">
                <a:solidFill>
                  <a:schemeClr val="bg1"/>
                </a:solidFill>
              </a:ln>
              <a:effectLst/>
            </c:spPr>
            <c:extLst>
              <c:ext xmlns:c16="http://schemas.microsoft.com/office/drawing/2014/chart" uri="{C3380CC4-5D6E-409C-BE32-E72D297353CC}">
                <c16:uniqueId val="{00000003-9DD8-483E-B366-8406E44F79C0}"/>
              </c:ext>
            </c:extLst>
          </c:dPt>
          <c:dPt>
            <c:idx val="2"/>
            <c:invertIfNegative val="0"/>
            <c:bubble3D val="0"/>
            <c:spPr>
              <a:solidFill>
                <a:srgbClr val="026602"/>
              </a:solidFill>
              <a:ln w="25400">
                <a:solidFill>
                  <a:schemeClr val="bg1"/>
                </a:solidFill>
              </a:ln>
              <a:effectLst/>
            </c:spPr>
            <c:extLst>
              <c:ext xmlns:c16="http://schemas.microsoft.com/office/drawing/2014/chart" uri="{C3380CC4-5D6E-409C-BE32-E72D297353CC}">
                <c16:uniqueId val="{00000002-9DD8-483E-B366-8406E44F79C0}"/>
              </c:ext>
            </c:extLst>
          </c:dPt>
          <c:cat>
            <c:strRef>
              <c:f>'Country Chart'!$A$4:$A$6</c:f>
              <c:strCache>
                <c:ptCount val="3"/>
                <c:pt idx="0">
                  <c:v>United Kingdom</c:v>
                </c:pt>
                <c:pt idx="1">
                  <c:v>Ireland</c:v>
                </c:pt>
                <c:pt idx="2">
                  <c:v>United States</c:v>
                </c:pt>
              </c:strCache>
            </c:strRef>
          </c:cat>
          <c:val>
            <c:numRef>
              <c:f>'Country Chart'!$B$4:$B$6</c:f>
              <c:numCache>
                <c:formatCode>0_ ;\-0\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9DD8-483E-B366-8406E44F79C0}"/>
            </c:ext>
          </c:extLst>
        </c:ser>
        <c:dLbls>
          <c:showLegendKey val="0"/>
          <c:showVal val="0"/>
          <c:showCatName val="0"/>
          <c:showSerName val="0"/>
          <c:showPercent val="0"/>
          <c:showBubbleSize val="0"/>
        </c:dLbls>
        <c:gapWidth val="150"/>
        <c:overlap val="100"/>
        <c:axId val="1418048720"/>
        <c:axId val="1418049200"/>
      </c:barChart>
      <c:catAx>
        <c:axId val="141804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18049200"/>
        <c:crosses val="autoZero"/>
        <c:auto val="1"/>
        <c:lblAlgn val="ctr"/>
        <c:lblOffset val="100"/>
        <c:noMultiLvlLbl val="0"/>
      </c:catAx>
      <c:valAx>
        <c:axId val="1418049200"/>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1804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CEE"/>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Customer!Total Sales</c:name>
    <c:fmtId val="1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6FA0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6602"/>
          </a:solidFill>
          <a:ln w="25400">
            <a:solidFill>
              <a:schemeClr val="bg1"/>
            </a:solidFill>
          </a:ln>
          <a:effectLst/>
        </c:spPr>
      </c:pivotFmt>
      <c:pivotFmt>
        <c:idx val="2"/>
        <c:spPr>
          <a:solidFill>
            <a:srgbClr val="04B404"/>
          </a:solidFill>
          <a:ln w="25400">
            <a:solidFill>
              <a:schemeClr val="bg1"/>
            </a:solidFill>
          </a:ln>
          <a:effectLst/>
        </c:spPr>
      </c:pivotFmt>
      <c:pivotFmt>
        <c:idx val="3"/>
        <c:spPr>
          <a:solidFill>
            <a:srgbClr val="06FA0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B404"/>
          </a:solidFill>
          <a:ln w="25400">
            <a:solidFill>
              <a:schemeClr val="bg1"/>
            </a:solidFill>
          </a:ln>
          <a:effectLst/>
        </c:spPr>
      </c:pivotFmt>
      <c:pivotFmt>
        <c:idx val="5"/>
        <c:spPr>
          <a:solidFill>
            <a:srgbClr val="026602"/>
          </a:solidFill>
          <a:ln w="25400">
            <a:solidFill>
              <a:schemeClr val="bg1"/>
            </a:solidFill>
          </a:ln>
          <a:effectLst/>
        </c:spPr>
      </c:pivotFmt>
    </c:pivotFmts>
    <c:plotArea>
      <c:layout/>
      <c:barChart>
        <c:barDir val="bar"/>
        <c:grouping val="stacked"/>
        <c:varyColors val="0"/>
        <c:ser>
          <c:idx val="0"/>
          <c:order val="0"/>
          <c:tx>
            <c:strRef>
              <c:f>'Top Customer'!$B$3</c:f>
              <c:strCache>
                <c:ptCount val="1"/>
                <c:pt idx="0">
                  <c:v>Total</c:v>
                </c:pt>
              </c:strCache>
            </c:strRef>
          </c:tx>
          <c:spPr>
            <a:solidFill>
              <a:srgbClr val="06FA06"/>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1-3EB1-4D3A-9DB6-3EB5423D5DD7}"/>
              </c:ext>
            </c:extLst>
          </c:dPt>
          <c:dPt>
            <c:idx val="2"/>
            <c:invertIfNegative val="0"/>
            <c:bubble3D val="0"/>
            <c:extLst>
              <c:ext xmlns:c16="http://schemas.microsoft.com/office/drawing/2014/chart" uri="{C3380CC4-5D6E-409C-BE32-E72D297353CC}">
                <c16:uniqueId val="{00000003-3EB1-4D3A-9DB6-3EB5423D5DD7}"/>
              </c:ext>
            </c:extLst>
          </c:dPt>
          <c:cat>
            <c:strRef>
              <c:f>'Top Customer'!$A$4:$A$8</c:f>
              <c:strCache>
                <c:ptCount val="5"/>
                <c:pt idx="0">
                  <c:v>Don Flintiff</c:v>
                </c:pt>
                <c:pt idx="1">
                  <c:v>Nealson Cuttler</c:v>
                </c:pt>
                <c:pt idx="2">
                  <c:v>Terri Farra</c:v>
                </c:pt>
                <c:pt idx="3">
                  <c:v>Brenn Dundredge</c:v>
                </c:pt>
                <c:pt idx="4">
                  <c:v>Allis Wilmore</c:v>
                </c:pt>
              </c:strCache>
            </c:strRef>
          </c:cat>
          <c:val>
            <c:numRef>
              <c:f>'Top Customer'!$B$4:$B$8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3EB1-4D3A-9DB6-3EB5423D5DD7}"/>
            </c:ext>
          </c:extLst>
        </c:ser>
        <c:dLbls>
          <c:showLegendKey val="0"/>
          <c:showVal val="0"/>
          <c:showCatName val="0"/>
          <c:showSerName val="0"/>
          <c:showPercent val="0"/>
          <c:showBubbleSize val="0"/>
        </c:dLbls>
        <c:gapWidth val="150"/>
        <c:overlap val="100"/>
        <c:axId val="1418048720"/>
        <c:axId val="1418049200"/>
      </c:barChart>
      <c:catAx>
        <c:axId val="141804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18049200"/>
        <c:crosses val="autoZero"/>
        <c:auto val="1"/>
        <c:lblAlgn val="ctr"/>
        <c:lblOffset val="100"/>
        <c:noMultiLvlLbl val="0"/>
      </c:catAx>
      <c:valAx>
        <c:axId val="1418049200"/>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1804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CEE"/>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22860</xdr:colOff>
      <xdr:row>0</xdr:row>
      <xdr:rowOff>30480</xdr:rowOff>
    </xdr:from>
    <xdr:to>
      <xdr:col>26</xdr:col>
      <xdr:colOff>0</xdr:colOff>
      <xdr:row>4</xdr:row>
      <xdr:rowOff>168234</xdr:rowOff>
    </xdr:to>
    <xdr:sp macro="" textlink="">
      <xdr:nvSpPr>
        <xdr:cNvPr id="4" name="Rectangle 3">
          <a:extLst>
            <a:ext uri="{FF2B5EF4-FFF2-40B4-BE49-F238E27FC236}">
              <a16:creationId xmlns:a16="http://schemas.microsoft.com/office/drawing/2014/main" id="{E3EF3EE5-28B7-95B4-2C64-76AC77BFB095}"/>
            </a:ext>
          </a:extLst>
        </xdr:cNvPr>
        <xdr:cNvSpPr/>
      </xdr:nvSpPr>
      <xdr:spPr>
        <a:xfrm>
          <a:off x="141613" y="30480"/>
          <a:ext cx="15316101" cy="711728"/>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b="1">
              <a:solidFill>
                <a:schemeClr val="bg1"/>
              </a:solidFill>
            </a:rPr>
            <a:t>COFFEE</a:t>
          </a:r>
          <a:r>
            <a:rPr lang="en-GB" sz="3200" b="1" baseline="0">
              <a:solidFill>
                <a:schemeClr val="bg1"/>
              </a:solidFill>
            </a:rPr>
            <a:t> SALES DASHBOARD</a:t>
          </a:r>
          <a:endParaRPr lang="en-GB" sz="3200" b="1">
            <a:solidFill>
              <a:schemeClr val="bg1"/>
            </a:solidFill>
          </a:endParaRPr>
        </a:p>
      </xdr:txBody>
    </xdr:sp>
    <xdr:clientData/>
  </xdr:twoCellAnchor>
  <xdr:twoCellAnchor editAs="oneCell">
    <xdr:from>
      <xdr:col>1</xdr:col>
      <xdr:colOff>9369</xdr:colOff>
      <xdr:row>6</xdr:row>
      <xdr:rowOff>30834</xdr:rowOff>
    </xdr:from>
    <xdr:to>
      <xdr:col>15</xdr:col>
      <xdr:colOff>145143</xdr:colOff>
      <xdr:row>13</xdr:row>
      <xdr:rowOff>94799</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4F59DE87-AD49-4315-A1B4-9AE1498C20CE}"/>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30321" y="974263"/>
              <a:ext cx="8602441" cy="133396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15</xdr:col>
      <xdr:colOff>337776</xdr:colOff>
      <xdr:row>6</xdr:row>
      <xdr:rowOff>24213</xdr:rowOff>
    </xdr:from>
    <xdr:to>
      <xdr:col>18</xdr:col>
      <xdr:colOff>331337</xdr:colOff>
      <xdr:row>13</xdr:row>
      <xdr:rowOff>84666</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318AB14E-8667-4E27-BE3F-D27C7A071B3E}"/>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925395" y="967642"/>
              <a:ext cx="1807847" cy="13304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474692</xdr:colOff>
      <xdr:row>6</xdr:row>
      <xdr:rowOff>31565</xdr:rowOff>
    </xdr:from>
    <xdr:to>
      <xdr:col>21</xdr:col>
      <xdr:colOff>468252</xdr:colOff>
      <xdr:row>13</xdr:row>
      <xdr:rowOff>60476</xdr:rowOff>
    </xdr:to>
    <mc:AlternateContent xmlns:mc="http://schemas.openxmlformats.org/markup-compatibility/2006">
      <mc:Choice xmlns:a14="http://schemas.microsoft.com/office/drawing/2010/main" Requires="a14">
        <xdr:graphicFrame macro="">
          <xdr:nvGraphicFramePr>
            <xdr:cNvPr id="8" name="Loyalty Card 3">
              <a:extLst>
                <a:ext uri="{FF2B5EF4-FFF2-40B4-BE49-F238E27FC236}">
                  <a16:creationId xmlns:a16="http://schemas.microsoft.com/office/drawing/2014/main" id="{04C70037-A373-49BA-B702-77FE6CD39EBB}"/>
                </a:ext>
              </a:extLst>
            </xdr:cNvPr>
            <xdr:cNvGraphicFramePr/>
          </xdr:nvGraphicFramePr>
          <xdr:xfrm>
            <a:off x="0" y="0"/>
            <a:ext cx="0" cy="0"/>
          </xdr:xfrm>
          <a:graphic>
            <a:graphicData uri="http://schemas.microsoft.com/office/drawing/2010/slicer">
              <sle:slicer xmlns:sle="http://schemas.microsoft.com/office/drawing/2010/slicer" name="Loyalty Card 3"/>
            </a:graphicData>
          </a:graphic>
        </xdr:graphicFrame>
      </mc:Choice>
      <mc:Fallback>
        <xdr:sp macro="" textlink="">
          <xdr:nvSpPr>
            <xdr:cNvPr id="0" name=""/>
            <xdr:cNvSpPr>
              <a:spLocks noTextEdit="1"/>
            </xdr:cNvSpPr>
          </xdr:nvSpPr>
          <xdr:spPr>
            <a:xfrm>
              <a:off x="10876597" y="974994"/>
              <a:ext cx="1807845" cy="12989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64394</xdr:colOff>
      <xdr:row>15</xdr:row>
      <xdr:rowOff>24190</xdr:rowOff>
    </xdr:from>
    <xdr:to>
      <xdr:col>13</xdr:col>
      <xdr:colOff>164420</xdr:colOff>
      <xdr:row>41</xdr:row>
      <xdr:rowOff>169332</xdr:rowOff>
    </xdr:to>
    <xdr:graphicFrame macro="">
      <xdr:nvGraphicFramePr>
        <xdr:cNvPr id="9" name="Chart 8">
          <a:extLst>
            <a:ext uri="{FF2B5EF4-FFF2-40B4-BE49-F238E27FC236}">
              <a16:creationId xmlns:a16="http://schemas.microsoft.com/office/drawing/2014/main" id="{04E3610F-F424-4BAF-9837-89EE18C80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36286</xdr:colOff>
      <xdr:row>15</xdr:row>
      <xdr:rowOff>12095</xdr:rowOff>
    </xdr:from>
    <xdr:to>
      <xdr:col>25</xdr:col>
      <xdr:colOff>592667</xdr:colOff>
      <xdr:row>29</xdr:row>
      <xdr:rowOff>0</xdr:rowOff>
    </xdr:to>
    <xdr:graphicFrame macro="">
      <xdr:nvGraphicFramePr>
        <xdr:cNvPr id="10" name="Chart 9">
          <a:extLst>
            <a:ext uri="{FF2B5EF4-FFF2-40B4-BE49-F238E27FC236}">
              <a16:creationId xmlns:a16="http://schemas.microsoft.com/office/drawing/2014/main" id="{861BCD89-252D-4E25-804B-80DAC7FB2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592667</xdr:colOff>
      <xdr:row>29</xdr:row>
      <xdr:rowOff>169333</xdr:rowOff>
    </xdr:from>
    <xdr:to>
      <xdr:col>26</xdr:col>
      <xdr:colOff>24190</xdr:colOff>
      <xdr:row>42</xdr:row>
      <xdr:rowOff>15808</xdr:rowOff>
    </xdr:to>
    <xdr:graphicFrame macro="">
      <xdr:nvGraphicFramePr>
        <xdr:cNvPr id="11" name="Chart 10">
          <a:extLst>
            <a:ext uri="{FF2B5EF4-FFF2-40B4-BE49-F238E27FC236}">
              <a16:creationId xmlns:a16="http://schemas.microsoft.com/office/drawing/2014/main" id="{688487BF-34FC-4EA2-AFC6-427D173E0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556380</xdr:colOff>
      <xdr:row>6</xdr:row>
      <xdr:rowOff>48380</xdr:rowOff>
    </xdr:from>
    <xdr:to>
      <xdr:col>26</xdr:col>
      <xdr:colOff>62410</xdr:colOff>
      <xdr:row>13</xdr:row>
      <xdr:rowOff>0</xdr:rowOff>
    </xdr:to>
    <mc:AlternateContent xmlns:mc="http://schemas.openxmlformats.org/markup-compatibility/2006">
      <mc:Choice xmlns:a14="http://schemas.microsoft.com/office/drawing/2010/main" Requires="a14">
        <xdr:graphicFrame macro="">
          <xdr:nvGraphicFramePr>
            <xdr:cNvPr id="12" name="Roast Type Name 1">
              <a:extLst>
                <a:ext uri="{FF2B5EF4-FFF2-40B4-BE49-F238E27FC236}">
                  <a16:creationId xmlns:a16="http://schemas.microsoft.com/office/drawing/2014/main" id="{B7AEA548-EE6C-4702-9EEE-99770CFF6945}"/>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2772570" y="991809"/>
              <a:ext cx="2529840" cy="1221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297180</xdr:colOff>
      <xdr:row>10</xdr:row>
      <xdr:rowOff>152400</xdr:rowOff>
    </xdr:from>
    <xdr:to>
      <xdr:col>19</xdr:col>
      <xdr:colOff>541020</xdr:colOff>
      <xdr:row>28</xdr:row>
      <xdr:rowOff>64770</xdr:rowOff>
    </xdr:to>
    <xdr:graphicFrame macro="">
      <xdr:nvGraphicFramePr>
        <xdr:cNvPr id="2" name="Chart 1">
          <a:extLst>
            <a:ext uri="{FF2B5EF4-FFF2-40B4-BE49-F238E27FC236}">
              <a16:creationId xmlns:a16="http://schemas.microsoft.com/office/drawing/2014/main" id="{AC961436-041A-275B-94C9-C3775FA11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297180</xdr:colOff>
      <xdr:row>2</xdr:row>
      <xdr:rowOff>38100</xdr:rowOff>
    </xdr:from>
    <xdr:to>
      <xdr:col>19</xdr:col>
      <xdr:colOff>601980</xdr:colOff>
      <xdr:row>9</xdr:row>
      <xdr:rowOff>99060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111306BB-8F95-B8B7-D86A-4951E2BF137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065520" y="403860"/>
              <a:ext cx="7620000" cy="134112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21</xdr:col>
      <xdr:colOff>38100</xdr:colOff>
      <xdr:row>5</xdr:row>
      <xdr:rowOff>106681</xdr:rowOff>
    </xdr:from>
    <xdr:to>
      <xdr:col>24</xdr:col>
      <xdr:colOff>38100</xdr:colOff>
      <xdr:row>10</xdr:row>
      <xdr:rowOff>144781</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F99C8023-7DAD-9A70-FB44-26FBAFE1918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340840" y="1021081"/>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419100</xdr:colOff>
      <xdr:row>5</xdr:row>
      <xdr:rowOff>45720</xdr:rowOff>
    </xdr:from>
    <xdr:to>
      <xdr:col>27</xdr:col>
      <xdr:colOff>419100</xdr:colOff>
      <xdr:row>18</xdr:row>
      <xdr:rowOff>135255</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0F824E72-CCB4-1F42-14FB-1F2050F2C53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6550640" y="9601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228600</xdr:colOff>
      <xdr:row>12</xdr:row>
      <xdr:rowOff>15240</xdr:rowOff>
    </xdr:from>
    <xdr:to>
      <xdr:col>24</xdr:col>
      <xdr:colOff>320040</xdr:colOff>
      <xdr:row>19</xdr:row>
      <xdr:rowOff>30479</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375669D2-7250-6DF4-E39C-2D7D385F4F9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921740" y="2209800"/>
              <a:ext cx="2529840" cy="1295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419100</xdr:colOff>
      <xdr:row>5</xdr:row>
      <xdr:rowOff>45720</xdr:rowOff>
    </xdr:from>
    <xdr:to>
      <xdr:col>27</xdr:col>
      <xdr:colOff>419100</xdr:colOff>
      <xdr:row>18</xdr:row>
      <xdr:rowOff>135255</xdr:rowOff>
    </xdr:to>
    <mc:AlternateContent xmlns:mc="http://schemas.openxmlformats.org/markup-compatibility/2006">
      <mc:Choice xmlns:a14="http://schemas.microsoft.com/office/drawing/2010/main" Requires="a14">
        <xdr:graphicFrame macro="">
          <xdr:nvGraphicFramePr>
            <xdr:cNvPr id="6" name="Loyalty Card 1">
              <a:extLst>
                <a:ext uri="{FF2B5EF4-FFF2-40B4-BE49-F238E27FC236}">
                  <a16:creationId xmlns:a16="http://schemas.microsoft.com/office/drawing/2014/main" id="{ABCDEBE2-423D-44F2-992E-B96A32846A1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6085820" y="9601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358140</xdr:colOff>
      <xdr:row>6</xdr:row>
      <xdr:rowOff>41910</xdr:rowOff>
    </xdr:from>
    <xdr:to>
      <xdr:col>12</xdr:col>
      <xdr:colOff>182880</xdr:colOff>
      <xdr:row>21</xdr:row>
      <xdr:rowOff>41910</xdr:rowOff>
    </xdr:to>
    <xdr:graphicFrame macro="">
      <xdr:nvGraphicFramePr>
        <xdr:cNvPr id="7" name="Chart 6">
          <a:extLst>
            <a:ext uri="{FF2B5EF4-FFF2-40B4-BE49-F238E27FC236}">
              <a16:creationId xmlns:a16="http://schemas.microsoft.com/office/drawing/2014/main" id="{55F4D948-E0DF-2217-2ACF-611DB3C0E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24</xdr:col>
      <xdr:colOff>419100</xdr:colOff>
      <xdr:row>5</xdr:row>
      <xdr:rowOff>45720</xdr:rowOff>
    </xdr:from>
    <xdr:to>
      <xdr:col>27</xdr:col>
      <xdr:colOff>419100</xdr:colOff>
      <xdr:row>18</xdr:row>
      <xdr:rowOff>135255</xdr:rowOff>
    </xdr:to>
    <mc:AlternateContent xmlns:mc="http://schemas.openxmlformats.org/markup-compatibility/2006">
      <mc:Choice xmlns:a14="http://schemas.microsoft.com/office/drawing/2010/main" Requires="a14">
        <xdr:graphicFrame macro="">
          <xdr:nvGraphicFramePr>
            <xdr:cNvPr id="2" name="Loyalty Card 2">
              <a:extLst>
                <a:ext uri="{FF2B5EF4-FFF2-40B4-BE49-F238E27FC236}">
                  <a16:creationId xmlns:a16="http://schemas.microsoft.com/office/drawing/2014/main" id="{521FDD87-31B4-41C1-B483-DB7245A4F950}"/>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16283940" y="9601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358140</xdr:colOff>
      <xdr:row>6</xdr:row>
      <xdr:rowOff>41910</xdr:rowOff>
    </xdr:from>
    <xdr:to>
      <xdr:col>12</xdr:col>
      <xdr:colOff>182880</xdr:colOff>
      <xdr:row>21</xdr:row>
      <xdr:rowOff>41910</xdr:rowOff>
    </xdr:to>
    <xdr:graphicFrame macro="">
      <xdr:nvGraphicFramePr>
        <xdr:cNvPr id="3" name="Chart 2">
          <a:extLst>
            <a:ext uri="{FF2B5EF4-FFF2-40B4-BE49-F238E27FC236}">
              <a16:creationId xmlns:a16="http://schemas.microsoft.com/office/drawing/2014/main" id="{8901DB9A-E4BD-4A1B-8173-573AD40E9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haseeb" refreshedDate="46151.989858564812" createdVersion="8" refreshedVersion="8" minRefreshableVersion="3" recordCount="1000" xr:uid="{FD882DAF-DBF5-4E86-BF56-AF641A7E725A}">
  <cacheSource type="worksheet">
    <worksheetSource name="Orders"/>
  </cacheSource>
  <cacheFields count="18">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899356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0F01C-3B8C-4894-A9EF-E1F661414614}" name="Total 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ABFC8-C4A5-4F73-A86A-A9844CC3A66A}" name="Total Sales"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A3:B6"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168"/>
  </dataField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2"/>
          </reference>
        </references>
      </pivotArea>
    </chartFormat>
    <chartFormat chart="13" format="2">
      <pivotArea type="data" outline="0" fieldPosition="0">
        <references count="2">
          <reference field="4294967294" count="1" selected="0">
            <x v="0"/>
          </reference>
          <reference field="7"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7" count="1" selected="0">
            <x v="0"/>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F4D5F4-64F3-4A77-88E5-5B761C951C4E}" name="Total Sales"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5" baseItem="125" numFmtId="169"/>
  </dataFields>
  <chartFormats count="4">
    <chartFormat chart="1"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36A35B7-E1BB-4C06-9F8E-814F22D7DE1F}" sourceName="Size">
  <pivotTables>
    <pivotTable tabId="18" name="Total Sales"/>
  </pivotTables>
  <data>
    <tabular pivotCacheId="189935671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1A7E2A7-AE6C-4A9C-9C81-219065EE6DDF}" sourceName="Loyalty Card">
  <pivotTables>
    <pivotTable tabId="18" name="Total Sales"/>
  </pivotTables>
  <data>
    <tabular pivotCacheId="189935671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D052BA82-3666-491F-942E-45F2D62C6161}" sourceName="Loyalty Card">
  <pivotTables>
    <pivotTable tabId="22" name="Total Sales"/>
  </pivotTables>
  <data>
    <tabular pivotCacheId="189935671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1" xr10:uid="{49AF5F56-DD5E-4EC7-91A6-9117EBF35AB9}" sourceName="Loyalty Card">
  <pivotTables>
    <pivotTable tabId="23" name="Total Sales"/>
  </pivotTables>
  <data>
    <tabular pivotCacheId="189935671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8263902-AE7A-4FA1-BB87-2B4FAD2D1B9D}" sourceName="Roast Type Name">
  <pivotTables>
    <pivotTable tabId="18" name="Total Sales"/>
  </pivotTables>
  <data>
    <tabular pivotCacheId="189935671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1E8270D-9067-48FF-954E-0A323949EF5C}" cache="Slicer_Size" caption="Size" columnCount="2" rowHeight="234950"/>
  <slicer name="Loyalty Card 3" xr10:uid="{770902A2-4033-43B9-9791-24DE093C8AFD}" cache="Slicer_Loyalty_Card" caption="Loyalty Card" rowHeight="234950"/>
  <slicer name="Roast Type Name 1" xr10:uid="{B8AF291A-006E-4F14-8847-F4821587508A}" cache="Slicer_Roast_Type_Name" caption="Roast Type Name"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A0DD6C8-E251-4A31-99E9-DF1E050798E5}" cache="Slicer_Size" caption="Size" columnCount="2" rowHeight="234950"/>
  <slicer name="Loyalty Card" xr10:uid="{65347058-8432-40FA-8980-610F5F58A80C}" cache="Slicer_Loyalty_Card" caption="Loyalty Card" rowHeight="234950"/>
  <slicer name="Roast Type Name" xr10:uid="{792B63EE-27DF-42BB-A1E7-B05709DAA15E}" cache="Slicer_Roast_Type_Name" caption="Roast Type Name" columnCoun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8083BB0B-F079-4857-BC89-DBD3F9B6B074}" cache="Slicer_Loyalty_Card1" caption="Loyalty Car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2" xr10:uid="{3B4A9098-0D62-4DBC-A8FC-5D35B39F6A7E}" cache="Slicer_Loyalty_Card11"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42E3F3-9621-47AE-99BB-9412396F3B22}" name="Orders" displayName="Orders" ref="A1:P1001" totalsRowShown="0" headerRowDxfId="5">
  <autoFilter ref="A1:P1001" xr:uid="{D342E3F3-9621-47AE-99BB-9412396F3B22}"/>
  <tableColumns count="16">
    <tableColumn id="1" xr3:uid="{0593A5B1-FF58-46DA-B19F-8A32E1E16B67}" name="Order ID" dataDxfId="15"/>
    <tableColumn id="2" xr3:uid="{79811E5D-5F53-41E0-952D-6A6EF0D71948}" name="Order Date" dataDxfId="14"/>
    <tableColumn id="3" xr3:uid="{F65D7E84-746B-474C-84AD-F19DBFF9F8E4}" name="Customer ID" dataDxfId="13"/>
    <tableColumn id="4" xr3:uid="{4F42F963-9491-4A28-975F-2D1F6E9B1FBD}" name="Product ID"/>
    <tableColumn id="5" xr3:uid="{EFFF405F-2728-4781-A15D-3A628746ED6B}" name="Quantity" dataDxfId="12"/>
    <tableColumn id="6" xr3:uid="{F51EE46B-C0FB-4834-9E82-BAD937BFB8A8}" name="Customer Name" dataDxfId="11">
      <calculatedColumnFormula>_xlfn.XLOOKUP(C2,customers!$A$1:$A$1001,customers!$B$1:$B$1001,0)</calculatedColumnFormula>
    </tableColumn>
    <tableColumn id="7" xr3:uid="{8BC3C090-7042-4750-89C9-071BF38C4E5A}" name="Email" dataDxfId="10">
      <calculatedColumnFormula>IF(_xlfn.XLOOKUP(C2,customers!$A$1:$A$1001,customers!$C$1:$C$1001,0)=0,"",_xlfn.XLOOKUP(C2,customers!$A$1:$A$1001,customers!$C$1:$C$1001,0))</calculatedColumnFormula>
    </tableColumn>
    <tableColumn id="8" xr3:uid="{061A9351-5244-4F1D-A2FB-702A9FC10FDF}" name="Country" dataDxfId="9">
      <calculatedColumnFormula>_xlfn.XLOOKUP(orders!C2,customers!$A$1:$A$1001,customers!$G$1:$G$1001,0)</calculatedColumnFormula>
    </tableColumn>
    <tableColumn id="9" xr3:uid="{64F7F703-24E7-45D1-8064-23E9AFE2FC53}" name="Coffee Type">
      <calculatedColumnFormula>_xlfn.XLOOKUP(D2,products!$A$2:$A$49,products!$B$2:$B$49,0)</calculatedColumnFormula>
    </tableColumn>
    <tableColumn id="10" xr3:uid="{C2344354-22F9-4695-B7D4-A3A71EF292AC}" name="Roast Type">
      <calculatedColumnFormula>_xlfn.XLOOKUP(D2,products!$A$2:$A$49,products!$C$2:$C$49,0)</calculatedColumnFormula>
    </tableColumn>
    <tableColumn id="11" xr3:uid="{AE27F185-1D62-48F5-B3F0-8D1B95897F41}" name="Size" dataDxfId="8">
      <calculatedColumnFormula>_xlfn.XLOOKUP(D2,products!$A$2:$A$49,products!$D$2:$D$49,0)</calculatedColumnFormula>
    </tableColumn>
    <tableColumn id="12" xr3:uid="{62730CF9-C3BD-4686-A967-F9CF9A5D9623}" name="Unit Price" dataDxfId="7">
      <calculatedColumnFormula>_xlfn.XLOOKUP(D2,products!$A$2:$A$49,products!$E$2:$E$49,0)</calculatedColumnFormula>
    </tableColumn>
    <tableColumn id="13" xr3:uid="{FE064844-3AED-471C-97F6-820CB1189029}" name="Sales" dataDxfId="6">
      <calculatedColumnFormula>L2*E2</calculatedColumnFormula>
    </tableColumn>
    <tableColumn id="14" xr3:uid="{BBF94E1A-583B-4003-9C88-536FB3EEDFF1}" name="Coffee Type Name ">
      <calculatedColumnFormula>IF(I2="Rob","Robusta",IF(I2="EXC","Excelsa",IF(I2="Ara","Arabica",IF(I2="Lib","Liberica",""))))</calculatedColumnFormula>
    </tableColumn>
    <tableColumn id="15" xr3:uid="{74AD854E-0CD7-4274-BCB4-FEE8B13D592F}" name="Roast Type Name">
      <calculatedColumnFormula>IF(J2="M","Medium",IF(J2="L","Light",IF(J2="D","Dark","")))</calculatedColumnFormula>
    </tableColumn>
    <tableColumn id="16" xr3:uid="{1D30EFDA-67EF-4397-8D02-4FA2DA37DFE5}" name="Loyalty Card" dataDxfId="2">
      <calculatedColumnFormula>_xlfn.XLOOKUP(Orders[[#This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708647B-3F6F-465A-BAEA-74BA89073367}" sourceName="Order Date">
  <pivotTables>
    <pivotTable tabId="18" name="Total Sales"/>
  </pivotTables>
  <state minimalRefreshVersion="6" lastRefreshVersion="6" pivotCacheId="189935671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96C0D2A-CD13-4E98-A486-080A49E94B90}" cache="NativeTimeline_Order_Date" caption="Order Date" level="2" selectionLevel="2" scrollPosition="2020-02-2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F444E75-7CA0-4C2D-8901-7828F3683771}" cache="NativeTimeline_Order_Date" caption="Order Date" level="2" selectionLevel="2" scrollPosition="2020-02-2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2193D-ECFF-4C78-8840-CFFFD83E3864}">
  <dimension ref="A1"/>
  <sheetViews>
    <sheetView tabSelected="1" zoomScale="63" workbookViewId="0">
      <selection activeCell="AC24" sqref="AC24"/>
    </sheetView>
  </sheetViews>
  <sheetFormatPr defaultRowHeight="14.4" x14ac:dyDescent="0.3"/>
  <cols>
    <col min="1" max="1" width="1.77734375" customWidth="1"/>
  </cols>
  <sheetData>
    <row r="1" ht="3"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46BC1-422A-40E9-AFC2-1696633A0849}">
  <dimension ref="A3:F48"/>
  <sheetViews>
    <sheetView topLeftCell="P1" workbookViewId="0">
      <selection activeCell="Q11" sqref="Q11"/>
    </sheetView>
  </sheetViews>
  <sheetFormatPr defaultRowHeight="14.4" x14ac:dyDescent="0.3"/>
  <cols>
    <col min="1" max="1" width="12.5546875" bestFit="1" customWidth="1"/>
    <col min="2" max="2" width="20.88671875" bestFit="1" customWidth="1"/>
    <col min="3" max="3" width="19.4414062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8CC0C-3DDA-4329-B415-F8703B991B6D}">
  <dimension ref="A3:B6"/>
  <sheetViews>
    <sheetView workbookViewId="0">
      <selection activeCell="O15" sqref="O15"/>
    </sheetView>
  </sheetViews>
  <sheetFormatPr defaultRowHeight="14.4" x14ac:dyDescent="0.3"/>
  <cols>
    <col min="1" max="1" width="14" bestFit="1" customWidth="1"/>
    <col min="2" max="2" width="11.6640625" bestFit="1" customWidth="1"/>
    <col min="3" max="3" width="14.77734375" bestFit="1" customWidth="1"/>
    <col min="4" max="4" width="12.21875" bestFit="1" customWidth="1"/>
    <col min="5" max="6" width="7.88671875" bestFit="1" customWidth="1"/>
  </cols>
  <sheetData>
    <row r="3" spans="1:2" x14ac:dyDescent="0.3">
      <c r="A3" s="6" t="s">
        <v>7</v>
      </c>
      <c r="B3" t="s">
        <v>6220</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C1788-5D08-444C-B054-2049D95D747C}">
  <dimension ref="A3:B8"/>
  <sheetViews>
    <sheetView workbookViewId="0">
      <selection activeCell="I3" sqref="I3"/>
    </sheetView>
  </sheetViews>
  <sheetFormatPr defaultRowHeight="14.4" x14ac:dyDescent="0.3"/>
  <cols>
    <col min="1" max="1" width="16.88671875" bestFit="1" customWidth="1"/>
    <col min="2" max="2" width="11.6640625" bestFit="1" customWidth="1"/>
    <col min="3" max="3" width="14.77734375" bestFit="1" customWidth="1"/>
    <col min="4" max="4" width="12.21875" bestFit="1" customWidth="1"/>
    <col min="5"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8"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8.6640625" customWidth="1"/>
    <col min="15" max="15" width="17.21875" customWidth="1"/>
    <col min="16" max="16" width="14.1093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_xlfn.XLOOKUP(orders!C2,customers!$A$1:$A$1001,customers!$G$1:$G$1001,0)</f>
        <v>United States</v>
      </c>
      <c r="I2" t="str">
        <f>_xlfn.XLOOKUP(D2,products!$A$2:$A$49,products!$B$2:$B$49,0)</f>
        <v>Rob</v>
      </c>
      <c r="J2" t="str">
        <f>_xlfn.XLOOKUP(D2,products!$A$2:$A$49,products!$C$2:$C$49,0)</f>
        <v>M</v>
      </c>
      <c r="K2" s="4">
        <f>_xlfn.XLOOKUP(D2,products!$A$2:$A$49,products!$D$2:$D$49,0)</f>
        <v>1</v>
      </c>
      <c r="L2" s="5">
        <f>_xlfn.XLOOKUP(D2,products!$A$2:$A$49,products!$E$2:$E$49,0)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_xlfn.XLOOKUP(orders!C3,customers!$A$1:$A$1001,customers!$G$1:$G$1001,0)</f>
        <v>United States</v>
      </c>
      <c r="I3" t="str">
        <f>_xlfn.XLOOKUP(D3,products!$A$2:$A$49,products!$B$2:$B$49,0)</f>
        <v>Exc</v>
      </c>
      <c r="J3" t="str">
        <f>_xlfn.XLOOKUP(D3,products!$A$2:$A$49,products!$C$2:$C$49,0)</f>
        <v>M</v>
      </c>
      <c r="K3" s="4">
        <f>_xlfn.XLOOKUP(D3,products!$A$2:$A$49,products!$D$2:$D$49,0)</f>
        <v>0.5</v>
      </c>
      <c r="L3" s="5">
        <f>_xlfn.XLOOKUP(D3,products!$A$2:$A$49,products!$E$2:$E$49,0)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_xlfn.XLOOKUP(orders!C4,customers!$A$1:$A$1001,customers!$G$1:$G$1001,0)</f>
        <v>United States</v>
      </c>
      <c r="I4" t="str">
        <f>_xlfn.XLOOKUP(D4,products!$A$2:$A$49,products!$B$2:$B$49,0)</f>
        <v>Ara</v>
      </c>
      <c r="J4" t="str">
        <f>_xlfn.XLOOKUP(D4,products!$A$2:$A$49,products!$C$2:$C$49,0)</f>
        <v>L</v>
      </c>
      <c r="K4" s="4">
        <f>_xlfn.XLOOKUP(D4,products!$A$2:$A$49,products!$D$2:$D$49,0)</f>
        <v>1</v>
      </c>
      <c r="L4" s="5">
        <f>_xlfn.XLOOKUP(D4,products!$A$2:$A$49,products!$E$2:$E$49,0)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_xlfn.XLOOKUP(orders!C5,customers!$A$1:$A$1001,customers!$G$1:$G$1001,0)</f>
        <v>Ireland</v>
      </c>
      <c r="I5" t="str">
        <f>_xlfn.XLOOKUP(D5,products!$A$2:$A$49,products!$B$2:$B$49,0)</f>
        <v>Exc</v>
      </c>
      <c r="J5" t="str">
        <f>_xlfn.XLOOKUP(D5,products!$A$2:$A$49,products!$C$2:$C$49,0)</f>
        <v>M</v>
      </c>
      <c r="K5" s="4">
        <f>_xlfn.XLOOKUP(D5,products!$A$2:$A$49,products!$D$2:$D$49,0)</f>
        <v>1</v>
      </c>
      <c r="L5" s="5">
        <f>_xlfn.XLOOKUP(D5,products!$A$2:$A$49,products!$E$2:$E$49,0)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_xlfn.XLOOKUP(orders!C6,customers!$A$1:$A$1001,customers!$G$1:$G$1001,0)</f>
        <v>Ireland</v>
      </c>
      <c r="I6" t="str">
        <f>_xlfn.XLOOKUP(D6,products!$A$2:$A$49,products!$B$2:$B$49,0)</f>
        <v>Rob</v>
      </c>
      <c r="J6" t="str">
        <f>_xlfn.XLOOKUP(D6,products!$A$2:$A$49,products!$C$2:$C$49,0)</f>
        <v>L</v>
      </c>
      <c r="K6" s="4">
        <f>_xlfn.XLOOKUP(D6,products!$A$2:$A$49,products!$D$2:$D$49,0)</f>
        <v>2.5</v>
      </c>
      <c r="L6" s="5">
        <f>_xlfn.XLOOKUP(D6,products!$A$2:$A$49,products!$E$2:$E$49,0)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_xlfn.XLOOKUP(orders!C7,customers!$A$1:$A$1001,customers!$G$1:$G$1001,0)</f>
        <v>United States</v>
      </c>
      <c r="I7" t="str">
        <f>_xlfn.XLOOKUP(D7,products!$A$2:$A$49,products!$B$2:$B$49,0)</f>
        <v>Lib</v>
      </c>
      <c r="J7" t="str">
        <f>_xlfn.XLOOKUP(D7,products!$A$2:$A$49,products!$C$2:$C$49,0)</f>
        <v>D</v>
      </c>
      <c r="K7" s="4">
        <f>_xlfn.XLOOKUP(D7,products!$A$2:$A$49,products!$D$2:$D$49,0)</f>
        <v>1</v>
      </c>
      <c r="L7" s="5">
        <f>_xlfn.XLOOKUP(D7,products!$A$2:$A$49,products!$E$2:$E$49,0)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_xlfn.XLOOKUP(orders!C8,customers!$A$1:$A$1001,customers!$G$1:$G$1001,0)</f>
        <v>United States</v>
      </c>
      <c r="I8" t="str">
        <f>_xlfn.XLOOKUP(D8,products!$A$2:$A$49,products!$B$2:$B$49,0)</f>
        <v>Exc</v>
      </c>
      <c r="J8" t="str">
        <f>_xlfn.XLOOKUP(D8,products!$A$2:$A$49,products!$C$2:$C$49,0)</f>
        <v>D</v>
      </c>
      <c r="K8" s="4">
        <f>_xlfn.XLOOKUP(D8,products!$A$2:$A$49,products!$D$2:$D$49,0)</f>
        <v>0.5</v>
      </c>
      <c r="L8" s="5">
        <f>_xlfn.XLOOKUP(D8,products!$A$2:$A$49,products!$E$2:$E$49,0)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_xlfn.XLOOKUP(orders!C9,customers!$A$1:$A$1001,customers!$G$1:$G$1001,0)</f>
        <v>Ireland</v>
      </c>
      <c r="I9" t="str">
        <f>_xlfn.XLOOKUP(D9,products!$A$2:$A$49,products!$B$2:$B$49,0)</f>
        <v>Lib</v>
      </c>
      <c r="J9" t="str">
        <f>_xlfn.XLOOKUP(D9,products!$A$2:$A$49,products!$C$2:$C$49,0)</f>
        <v>L</v>
      </c>
      <c r="K9" s="4">
        <f>_xlfn.XLOOKUP(D9,products!$A$2:$A$49,products!$D$2:$D$49,0)</f>
        <v>0.2</v>
      </c>
      <c r="L9" s="5">
        <f>_xlfn.XLOOKUP(D9,products!$A$2:$A$49,products!$E$2:$E$49,0)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_xlfn.XLOOKUP(orders!C10,customers!$A$1:$A$1001,customers!$G$1:$G$1001,0)</f>
        <v>United States</v>
      </c>
      <c r="I10" t="str">
        <f>_xlfn.XLOOKUP(D10,products!$A$2:$A$49,products!$B$2:$B$49,0)</f>
        <v>Rob</v>
      </c>
      <c r="J10" t="str">
        <f>_xlfn.XLOOKUP(D10,products!$A$2:$A$49,products!$C$2:$C$49,0)</f>
        <v>M</v>
      </c>
      <c r="K10" s="4">
        <f>_xlfn.XLOOKUP(D10,products!$A$2:$A$49,products!$D$2:$D$49,0)</f>
        <v>0.5</v>
      </c>
      <c r="L10" s="5">
        <f>_xlfn.XLOOKUP(D10,products!$A$2:$A$49,products!$E$2:$E$49,0)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_xlfn.XLOOKUP(orders!C11,customers!$A$1:$A$1001,customers!$G$1:$G$1001,0)</f>
        <v>United States</v>
      </c>
      <c r="I11" t="str">
        <f>_xlfn.XLOOKUP(D11,products!$A$2:$A$49,products!$B$2:$B$49,0)</f>
        <v>Rob</v>
      </c>
      <c r="J11" t="str">
        <f>_xlfn.XLOOKUP(D11,products!$A$2:$A$49,products!$C$2:$C$49,0)</f>
        <v>M</v>
      </c>
      <c r="K11" s="4">
        <f>_xlfn.XLOOKUP(D11,products!$A$2:$A$49,products!$D$2:$D$49,0)</f>
        <v>0.5</v>
      </c>
      <c r="L11" s="5">
        <f>_xlfn.XLOOKUP(D11,products!$A$2:$A$49,products!$E$2:$E$49,0)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_xlfn.XLOOKUP(orders!C12,customers!$A$1:$A$1001,customers!$G$1:$G$1001,0)</f>
        <v>United States</v>
      </c>
      <c r="I12" t="str">
        <f>_xlfn.XLOOKUP(D12,products!$A$2:$A$49,products!$B$2:$B$49,0)</f>
        <v>Ara</v>
      </c>
      <c r="J12" t="str">
        <f>_xlfn.XLOOKUP(D12,products!$A$2:$A$49,products!$C$2:$C$49,0)</f>
        <v>D</v>
      </c>
      <c r="K12" s="4">
        <f>_xlfn.XLOOKUP(D12,products!$A$2:$A$49,products!$D$2:$D$49,0)</f>
        <v>1</v>
      </c>
      <c r="L12" s="5">
        <f>_xlfn.XLOOKUP(D12,products!$A$2:$A$49,products!$E$2:$E$49,0)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_xlfn.XLOOKUP(orders!C13,customers!$A$1:$A$1001,customers!$G$1:$G$1001,0)</f>
        <v>United States</v>
      </c>
      <c r="I13" t="str">
        <f>_xlfn.XLOOKUP(D13,products!$A$2:$A$49,products!$B$2:$B$49,0)</f>
        <v>Exc</v>
      </c>
      <c r="J13" t="str">
        <f>_xlfn.XLOOKUP(D13,products!$A$2:$A$49,products!$C$2:$C$49,0)</f>
        <v>L</v>
      </c>
      <c r="K13" s="4">
        <f>_xlfn.XLOOKUP(D13,products!$A$2:$A$49,products!$D$2:$D$49,0)</f>
        <v>2.5</v>
      </c>
      <c r="L13" s="5">
        <f>_xlfn.XLOOKUP(D13,products!$A$2:$A$49,products!$E$2:$E$49,0)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_xlfn.XLOOKUP(orders!C14,customers!$A$1:$A$1001,customers!$G$1:$G$1001,0)</f>
        <v>United States</v>
      </c>
      <c r="I14" t="str">
        <f>_xlfn.XLOOKUP(D14,products!$A$2:$A$49,products!$B$2:$B$49,0)</f>
        <v>Rob</v>
      </c>
      <c r="J14" t="str">
        <f>_xlfn.XLOOKUP(D14,products!$A$2:$A$49,products!$C$2:$C$49,0)</f>
        <v>M</v>
      </c>
      <c r="K14" s="4">
        <f>_xlfn.XLOOKUP(D14,products!$A$2:$A$49,products!$D$2:$D$49,0)</f>
        <v>1</v>
      </c>
      <c r="L14" s="5">
        <f>_xlfn.XLOOKUP(D14,products!$A$2:$A$49,products!$E$2:$E$49,0)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_xlfn.XLOOKUP(orders!C15,customers!$A$1:$A$1001,customers!$G$1:$G$1001,0)</f>
        <v>United States</v>
      </c>
      <c r="I15" t="str">
        <f>_xlfn.XLOOKUP(D15,products!$A$2:$A$49,products!$B$2:$B$49,0)</f>
        <v>Rob</v>
      </c>
      <c r="J15" t="str">
        <f>_xlfn.XLOOKUP(D15,products!$A$2:$A$49,products!$C$2:$C$49,0)</f>
        <v>D</v>
      </c>
      <c r="K15" s="4">
        <f>_xlfn.XLOOKUP(D15,products!$A$2:$A$49,products!$D$2:$D$49,0)</f>
        <v>2.5</v>
      </c>
      <c r="L15" s="5">
        <f>_xlfn.XLOOKUP(D15,products!$A$2:$A$49,products!$E$2:$E$49,0)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_xlfn.XLOOKUP(orders!C16,customers!$A$1:$A$1001,customers!$G$1:$G$1001,0)</f>
        <v>United States</v>
      </c>
      <c r="I16" t="str">
        <f>_xlfn.XLOOKUP(D16,products!$A$2:$A$49,products!$B$2:$B$49,0)</f>
        <v>Lib</v>
      </c>
      <c r="J16" t="str">
        <f>_xlfn.XLOOKUP(D16,products!$A$2:$A$49,products!$C$2:$C$49,0)</f>
        <v>D</v>
      </c>
      <c r="K16" s="4">
        <f>_xlfn.XLOOKUP(D16,products!$A$2:$A$49,products!$D$2:$D$49,0)</f>
        <v>0.2</v>
      </c>
      <c r="L16" s="5">
        <f>_xlfn.XLOOKUP(D16,products!$A$2:$A$49,products!$E$2:$E$49,0)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_xlfn.XLOOKUP(orders!C17,customers!$A$1:$A$1001,customers!$G$1:$G$1001,0)</f>
        <v>United States</v>
      </c>
      <c r="I17" t="str">
        <f>_xlfn.XLOOKUP(D17,products!$A$2:$A$49,products!$B$2:$B$49,0)</f>
        <v>Rob</v>
      </c>
      <c r="J17" t="str">
        <f>_xlfn.XLOOKUP(D17,products!$A$2:$A$49,products!$C$2:$C$49,0)</f>
        <v>M</v>
      </c>
      <c r="K17" s="4">
        <f>_xlfn.XLOOKUP(D17,products!$A$2:$A$49,products!$D$2:$D$49,0)</f>
        <v>2.5</v>
      </c>
      <c r="L17" s="5">
        <f>_xlfn.XLOOKUP(D17,products!$A$2:$A$49,products!$E$2:$E$49,0)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_xlfn.XLOOKUP(orders!C18,customers!$A$1:$A$1001,customers!$G$1:$G$1001,0)</f>
        <v>United States</v>
      </c>
      <c r="I18" t="str">
        <f>_xlfn.XLOOKUP(D18,products!$A$2:$A$49,products!$B$2:$B$49,0)</f>
        <v>Ara</v>
      </c>
      <c r="J18" t="str">
        <f>_xlfn.XLOOKUP(D18,products!$A$2:$A$49,products!$C$2:$C$49,0)</f>
        <v>M</v>
      </c>
      <c r="K18" s="4">
        <f>_xlfn.XLOOKUP(D18,products!$A$2:$A$49,products!$D$2:$D$49,0)</f>
        <v>0.2</v>
      </c>
      <c r="L18" s="5">
        <f>_xlfn.XLOOKUP(D18,products!$A$2:$A$49,products!$E$2:$E$49,0)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_xlfn.XLOOKUP(orders!C19,customers!$A$1:$A$1001,customers!$G$1:$G$1001,0)</f>
        <v>United States</v>
      </c>
      <c r="I19" t="str">
        <f>_xlfn.XLOOKUP(D19,products!$A$2:$A$49,products!$B$2:$B$49,0)</f>
        <v>Ara</v>
      </c>
      <c r="J19" t="str">
        <f>_xlfn.XLOOKUP(D19,products!$A$2:$A$49,products!$C$2:$C$49,0)</f>
        <v>L</v>
      </c>
      <c r="K19" s="4">
        <f>_xlfn.XLOOKUP(D19,products!$A$2:$A$49,products!$D$2:$D$49,0)</f>
        <v>1</v>
      </c>
      <c r="L19" s="5">
        <f>_xlfn.XLOOKUP(D19,products!$A$2:$A$49,products!$E$2:$E$49,0)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_xlfn.XLOOKUP(orders!C20,customers!$A$1:$A$1001,customers!$G$1:$G$1001,0)</f>
        <v>Ireland</v>
      </c>
      <c r="I20" t="str">
        <f>_xlfn.XLOOKUP(D20,products!$A$2:$A$49,products!$B$2:$B$49,0)</f>
        <v>Rob</v>
      </c>
      <c r="J20" t="str">
        <f>_xlfn.XLOOKUP(D20,products!$A$2:$A$49,products!$C$2:$C$49,0)</f>
        <v>D</v>
      </c>
      <c r="K20" s="4">
        <f>_xlfn.XLOOKUP(D20,products!$A$2:$A$49,products!$D$2:$D$49,0)</f>
        <v>2.5</v>
      </c>
      <c r="L20" s="5">
        <f>_xlfn.XLOOKUP(D20,products!$A$2:$A$49,products!$E$2:$E$49,0)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_xlfn.XLOOKUP(orders!C21,customers!$A$1:$A$1001,customers!$G$1:$G$1001,0)</f>
        <v>United States</v>
      </c>
      <c r="I21" t="str">
        <f>_xlfn.XLOOKUP(D21,products!$A$2:$A$49,products!$B$2:$B$49,0)</f>
        <v>Ara</v>
      </c>
      <c r="J21" t="str">
        <f>_xlfn.XLOOKUP(D21,products!$A$2:$A$49,products!$C$2:$C$49,0)</f>
        <v>M</v>
      </c>
      <c r="K21" s="4">
        <f>_xlfn.XLOOKUP(D21,products!$A$2:$A$49,products!$D$2:$D$49,0)</f>
        <v>0.2</v>
      </c>
      <c r="L21" s="5">
        <f>_xlfn.XLOOKUP(D21,products!$A$2:$A$49,products!$E$2:$E$49,0)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_xlfn.XLOOKUP(orders!C22,customers!$A$1:$A$1001,customers!$G$1:$G$1001,0)</f>
        <v>United States</v>
      </c>
      <c r="I22" t="str">
        <f>_xlfn.XLOOKUP(D22,products!$A$2:$A$49,products!$B$2:$B$49,0)</f>
        <v>Exc</v>
      </c>
      <c r="J22" t="str">
        <f>_xlfn.XLOOKUP(D22,products!$A$2:$A$49,products!$C$2:$C$49,0)</f>
        <v>D</v>
      </c>
      <c r="K22" s="4">
        <f>_xlfn.XLOOKUP(D22,products!$A$2:$A$49,products!$D$2:$D$49,0)</f>
        <v>0.2</v>
      </c>
      <c r="L22" s="5">
        <f>_xlfn.XLOOKUP(D22,products!$A$2:$A$49,products!$E$2:$E$49,0)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_xlfn.XLOOKUP(orders!C23,customers!$A$1:$A$1001,customers!$G$1:$G$1001,0)</f>
        <v>United States</v>
      </c>
      <c r="I23" t="str">
        <f>_xlfn.XLOOKUP(D23,products!$A$2:$A$49,products!$B$2:$B$49,0)</f>
        <v>Ara</v>
      </c>
      <c r="J23" t="str">
        <f>_xlfn.XLOOKUP(D23,products!$A$2:$A$49,products!$C$2:$C$49,0)</f>
        <v>D</v>
      </c>
      <c r="K23" s="4">
        <f>_xlfn.XLOOKUP(D23,products!$A$2:$A$49,products!$D$2:$D$49,0)</f>
        <v>0.2</v>
      </c>
      <c r="L23" s="5">
        <f>_xlfn.XLOOKUP(D23,products!$A$2:$A$49,products!$E$2:$E$49,0)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_xlfn.XLOOKUP(orders!C24,customers!$A$1:$A$1001,customers!$G$1:$G$1001,0)</f>
        <v>United States</v>
      </c>
      <c r="I24" t="str">
        <f>_xlfn.XLOOKUP(D24,products!$A$2:$A$49,products!$B$2:$B$49,0)</f>
        <v>Rob</v>
      </c>
      <c r="J24" t="str">
        <f>_xlfn.XLOOKUP(D24,products!$A$2:$A$49,products!$C$2:$C$49,0)</f>
        <v>M</v>
      </c>
      <c r="K24" s="4">
        <f>_xlfn.XLOOKUP(D24,products!$A$2:$A$49,products!$D$2:$D$49,0)</f>
        <v>2.5</v>
      </c>
      <c r="L24" s="5">
        <f>_xlfn.XLOOKUP(D24,products!$A$2:$A$49,products!$E$2:$E$49,0)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_xlfn.XLOOKUP(orders!C25,customers!$A$1:$A$1001,customers!$G$1:$G$1001,0)</f>
        <v>United States</v>
      </c>
      <c r="I25" t="str">
        <f>_xlfn.XLOOKUP(D25,products!$A$2:$A$49,products!$B$2:$B$49,0)</f>
        <v>Ara</v>
      </c>
      <c r="J25" t="str">
        <f>_xlfn.XLOOKUP(D25,products!$A$2:$A$49,products!$C$2:$C$49,0)</f>
        <v>D</v>
      </c>
      <c r="K25" s="4">
        <f>_xlfn.XLOOKUP(D25,products!$A$2:$A$49,products!$D$2:$D$49,0)</f>
        <v>0.2</v>
      </c>
      <c r="L25" s="5">
        <f>_xlfn.XLOOKUP(D25,products!$A$2:$A$49,products!$E$2:$E$49,0)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_xlfn.XLOOKUP(orders!C26,customers!$A$1:$A$1001,customers!$G$1:$G$1001,0)</f>
        <v>United States</v>
      </c>
      <c r="I26" t="str">
        <f>_xlfn.XLOOKUP(D26,products!$A$2:$A$49,products!$B$2:$B$49,0)</f>
        <v>Ara</v>
      </c>
      <c r="J26" t="str">
        <f>_xlfn.XLOOKUP(D26,products!$A$2:$A$49,products!$C$2:$C$49,0)</f>
        <v>M</v>
      </c>
      <c r="K26" s="4">
        <f>_xlfn.XLOOKUP(D26,products!$A$2:$A$49,products!$D$2:$D$49,0)</f>
        <v>1</v>
      </c>
      <c r="L26" s="5">
        <f>_xlfn.XLOOKUP(D26,products!$A$2:$A$49,products!$E$2:$E$49,0)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_xlfn.XLOOKUP(orders!C27,customers!$A$1:$A$1001,customers!$G$1:$G$1001,0)</f>
        <v>United States</v>
      </c>
      <c r="I27" t="str">
        <f>_xlfn.XLOOKUP(D27,products!$A$2:$A$49,products!$B$2:$B$49,0)</f>
        <v>Exc</v>
      </c>
      <c r="J27" t="str">
        <f>_xlfn.XLOOKUP(D27,products!$A$2:$A$49,products!$C$2:$C$49,0)</f>
        <v>M</v>
      </c>
      <c r="K27" s="4">
        <f>_xlfn.XLOOKUP(D27,products!$A$2:$A$49,products!$D$2:$D$49,0)</f>
        <v>0.2</v>
      </c>
      <c r="L27" s="5">
        <f>_xlfn.XLOOKUP(D27,products!$A$2:$A$49,products!$E$2:$E$49,0)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_xlfn.XLOOKUP(orders!C28,customers!$A$1:$A$1001,customers!$G$1:$G$1001,0)</f>
        <v>United States</v>
      </c>
      <c r="I28" t="str">
        <f>_xlfn.XLOOKUP(D28,products!$A$2:$A$49,products!$B$2:$B$49,0)</f>
        <v>Ara</v>
      </c>
      <c r="J28" t="str">
        <f>_xlfn.XLOOKUP(D28,products!$A$2:$A$49,products!$C$2:$C$49,0)</f>
        <v>M</v>
      </c>
      <c r="K28" s="4">
        <f>_xlfn.XLOOKUP(D28,products!$A$2:$A$49,products!$D$2:$D$49,0)</f>
        <v>0.5</v>
      </c>
      <c r="L28" s="5">
        <f>_xlfn.XLOOKUP(D28,products!$A$2:$A$49,products!$E$2:$E$49,0)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_xlfn.XLOOKUP(orders!C29,customers!$A$1:$A$1001,customers!$G$1:$G$1001,0)</f>
        <v>Ireland</v>
      </c>
      <c r="I29" t="str">
        <f>_xlfn.XLOOKUP(D29,products!$A$2:$A$49,products!$B$2:$B$49,0)</f>
        <v>Ara</v>
      </c>
      <c r="J29" t="str">
        <f>_xlfn.XLOOKUP(D29,products!$A$2:$A$49,products!$C$2:$C$49,0)</f>
        <v>M</v>
      </c>
      <c r="K29" s="4">
        <f>_xlfn.XLOOKUP(D29,products!$A$2:$A$49,products!$D$2:$D$49,0)</f>
        <v>0.2</v>
      </c>
      <c r="L29" s="5">
        <f>_xlfn.XLOOKUP(D29,products!$A$2:$A$49,products!$E$2:$E$49,0)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_xlfn.XLOOKUP(orders!C30,customers!$A$1:$A$1001,customers!$G$1:$G$1001,0)</f>
        <v>Ireland</v>
      </c>
      <c r="I30" t="str">
        <f>_xlfn.XLOOKUP(D30,products!$A$2:$A$49,products!$B$2:$B$49,0)</f>
        <v>Ara</v>
      </c>
      <c r="J30" t="str">
        <f>_xlfn.XLOOKUP(D30,products!$A$2:$A$49,products!$C$2:$C$49,0)</f>
        <v>D</v>
      </c>
      <c r="K30" s="4">
        <f>_xlfn.XLOOKUP(D30,products!$A$2:$A$49,products!$D$2:$D$49,0)</f>
        <v>0.5</v>
      </c>
      <c r="L30" s="5">
        <f>_xlfn.XLOOKUP(D30,products!$A$2:$A$49,products!$E$2:$E$49,0)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_xlfn.XLOOKUP(orders!C31,customers!$A$1:$A$1001,customers!$G$1:$G$1001,0)</f>
        <v>Ireland</v>
      </c>
      <c r="I31" t="str">
        <f>_xlfn.XLOOKUP(D31,products!$A$2:$A$49,products!$B$2:$B$49,0)</f>
        <v>Ara</v>
      </c>
      <c r="J31" t="str">
        <f>_xlfn.XLOOKUP(D31,products!$A$2:$A$49,products!$C$2:$C$49,0)</f>
        <v>D</v>
      </c>
      <c r="K31" s="4">
        <f>_xlfn.XLOOKUP(D31,products!$A$2:$A$49,products!$D$2:$D$49,0)</f>
        <v>1</v>
      </c>
      <c r="L31" s="5">
        <f>_xlfn.XLOOKUP(D31,products!$A$2:$A$49,products!$E$2:$E$49,0)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_xlfn.XLOOKUP(orders!C32,customers!$A$1:$A$1001,customers!$G$1:$G$1001,0)</f>
        <v>United States</v>
      </c>
      <c r="I32" t="str">
        <f>_xlfn.XLOOKUP(D32,products!$A$2:$A$49,products!$B$2:$B$49,0)</f>
        <v>Lib</v>
      </c>
      <c r="J32" t="str">
        <f>_xlfn.XLOOKUP(D32,products!$A$2:$A$49,products!$C$2:$C$49,0)</f>
        <v>M</v>
      </c>
      <c r="K32" s="4">
        <f>_xlfn.XLOOKUP(D32,products!$A$2:$A$49,products!$D$2:$D$49,0)</f>
        <v>0.2</v>
      </c>
      <c r="L32" s="5">
        <f>_xlfn.XLOOKUP(D32,products!$A$2:$A$49,products!$E$2:$E$49,0)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_xlfn.XLOOKUP(orders!C33,customers!$A$1:$A$1001,customers!$G$1:$G$1001,0)</f>
        <v>United States</v>
      </c>
      <c r="I33" t="str">
        <f>_xlfn.XLOOKUP(D33,products!$A$2:$A$49,products!$B$2:$B$49,0)</f>
        <v>Ara</v>
      </c>
      <c r="J33" t="str">
        <f>_xlfn.XLOOKUP(D33,products!$A$2:$A$49,products!$C$2:$C$49,0)</f>
        <v>D</v>
      </c>
      <c r="K33" s="4">
        <f>_xlfn.XLOOKUP(D33,products!$A$2:$A$49,products!$D$2:$D$49,0)</f>
        <v>0.5</v>
      </c>
      <c r="L33" s="5">
        <f>_xlfn.XLOOKUP(D33,products!$A$2:$A$49,products!$E$2:$E$49,0)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_xlfn.XLOOKUP(orders!C34,customers!$A$1:$A$1001,customers!$G$1:$G$1001,0)</f>
        <v>United States</v>
      </c>
      <c r="I34" t="str">
        <f>_xlfn.XLOOKUP(D34,products!$A$2:$A$49,products!$B$2:$B$49,0)</f>
        <v>Lib</v>
      </c>
      <c r="J34" t="str">
        <f>_xlfn.XLOOKUP(D34,products!$A$2:$A$49,products!$C$2:$C$49,0)</f>
        <v>M</v>
      </c>
      <c r="K34" s="4">
        <f>_xlfn.XLOOKUP(D34,products!$A$2:$A$49,products!$D$2:$D$49,0)</f>
        <v>0.5</v>
      </c>
      <c r="L34" s="5">
        <f>_xlfn.XLOOKUP(D34,products!$A$2:$A$49,products!$E$2:$E$49,0)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_xlfn.XLOOKUP(orders!C35,customers!$A$1:$A$1001,customers!$G$1:$G$1001,0)</f>
        <v>United States</v>
      </c>
      <c r="I35" t="str">
        <f>_xlfn.XLOOKUP(D35,products!$A$2:$A$49,products!$B$2:$B$49,0)</f>
        <v>Lib</v>
      </c>
      <c r="J35" t="str">
        <f>_xlfn.XLOOKUP(D35,products!$A$2:$A$49,products!$C$2:$C$49,0)</f>
        <v>L</v>
      </c>
      <c r="K35" s="4">
        <f>_xlfn.XLOOKUP(D35,products!$A$2:$A$49,products!$D$2:$D$49,0)</f>
        <v>0.2</v>
      </c>
      <c r="L35" s="5">
        <f>_xlfn.XLOOKUP(D35,products!$A$2:$A$49,products!$E$2:$E$49,0)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_xlfn.XLOOKUP(orders!C36,customers!$A$1:$A$1001,customers!$G$1:$G$1001,0)</f>
        <v>United Kingdom</v>
      </c>
      <c r="I36" t="str">
        <f>_xlfn.XLOOKUP(D36,products!$A$2:$A$49,products!$B$2:$B$49,0)</f>
        <v>Lib</v>
      </c>
      <c r="J36" t="str">
        <f>_xlfn.XLOOKUP(D36,products!$A$2:$A$49,products!$C$2:$C$49,0)</f>
        <v>L</v>
      </c>
      <c r="K36" s="4">
        <f>_xlfn.XLOOKUP(D36,products!$A$2:$A$49,products!$D$2:$D$49,0)</f>
        <v>0.5</v>
      </c>
      <c r="L36" s="5">
        <f>_xlfn.XLOOKUP(D36,products!$A$2:$A$49,products!$E$2:$E$49,0)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_xlfn.XLOOKUP(orders!C37,customers!$A$1:$A$1001,customers!$G$1:$G$1001,0)</f>
        <v>United States</v>
      </c>
      <c r="I37" t="str">
        <f>_xlfn.XLOOKUP(D37,products!$A$2:$A$49,products!$B$2:$B$49,0)</f>
        <v>Ara</v>
      </c>
      <c r="J37" t="str">
        <f>_xlfn.XLOOKUP(D37,products!$A$2:$A$49,products!$C$2:$C$49,0)</f>
        <v>D</v>
      </c>
      <c r="K37" s="4">
        <f>_xlfn.XLOOKUP(D37,products!$A$2:$A$49,products!$D$2:$D$49,0)</f>
        <v>0.5</v>
      </c>
      <c r="L37" s="5">
        <f>_xlfn.XLOOKUP(D37,products!$A$2:$A$49,products!$E$2:$E$49,0)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_xlfn.XLOOKUP(orders!C38,customers!$A$1:$A$1001,customers!$G$1:$G$1001,0)</f>
        <v>United States</v>
      </c>
      <c r="I38" t="str">
        <f>_xlfn.XLOOKUP(D38,products!$A$2:$A$49,products!$B$2:$B$49,0)</f>
        <v>Lib</v>
      </c>
      <c r="J38" t="str">
        <f>_xlfn.XLOOKUP(D38,products!$A$2:$A$49,products!$C$2:$C$49,0)</f>
        <v>M</v>
      </c>
      <c r="K38" s="4">
        <f>_xlfn.XLOOKUP(D38,products!$A$2:$A$49,products!$D$2:$D$49,0)</f>
        <v>0.2</v>
      </c>
      <c r="L38" s="5">
        <f>_xlfn.XLOOKUP(D38,products!$A$2:$A$49,products!$E$2:$E$49,0)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_xlfn.XLOOKUP(orders!C39,customers!$A$1:$A$1001,customers!$G$1:$G$1001,0)</f>
        <v>United States</v>
      </c>
      <c r="I39" t="str">
        <f>_xlfn.XLOOKUP(D39,products!$A$2:$A$49,products!$B$2:$B$49,0)</f>
        <v>Lib</v>
      </c>
      <c r="J39" t="str">
        <f>_xlfn.XLOOKUP(D39,products!$A$2:$A$49,products!$C$2:$C$49,0)</f>
        <v>L</v>
      </c>
      <c r="K39" s="4">
        <f>_xlfn.XLOOKUP(D39,products!$A$2:$A$49,products!$D$2:$D$49,0)</f>
        <v>0.5</v>
      </c>
      <c r="L39" s="5">
        <f>_xlfn.XLOOKUP(D39,products!$A$2:$A$49,products!$E$2:$E$49,0)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_xlfn.XLOOKUP(orders!C40,customers!$A$1:$A$1001,customers!$G$1:$G$1001,0)</f>
        <v>United States</v>
      </c>
      <c r="I40" t="str">
        <f>_xlfn.XLOOKUP(D40,products!$A$2:$A$49,products!$B$2:$B$49,0)</f>
        <v>Rob</v>
      </c>
      <c r="J40" t="str">
        <f>_xlfn.XLOOKUP(D40,products!$A$2:$A$49,products!$C$2:$C$49,0)</f>
        <v>M</v>
      </c>
      <c r="K40" s="4">
        <f>_xlfn.XLOOKUP(D40,products!$A$2:$A$49,products!$D$2:$D$49,0)</f>
        <v>2.5</v>
      </c>
      <c r="L40" s="5">
        <f>_xlfn.XLOOKUP(D40,products!$A$2:$A$49,products!$E$2:$E$49,0)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_xlfn.XLOOKUP(orders!C41,customers!$A$1:$A$1001,customers!$G$1:$G$1001,0)</f>
        <v>United States</v>
      </c>
      <c r="I41" t="str">
        <f>_xlfn.XLOOKUP(D41,products!$A$2:$A$49,products!$B$2:$B$49,0)</f>
        <v>Rob</v>
      </c>
      <c r="J41" t="str">
        <f>_xlfn.XLOOKUP(D41,products!$A$2:$A$49,products!$C$2:$C$49,0)</f>
        <v>M</v>
      </c>
      <c r="K41" s="4">
        <f>_xlfn.XLOOKUP(D41,products!$A$2:$A$49,products!$D$2:$D$49,0)</f>
        <v>1</v>
      </c>
      <c r="L41" s="5">
        <f>_xlfn.XLOOKUP(D41,products!$A$2:$A$49,products!$E$2:$E$49,0)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_xlfn.XLOOKUP(orders!C42,customers!$A$1:$A$1001,customers!$G$1:$G$1001,0)</f>
        <v>United States</v>
      </c>
      <c r="I42" t="str">
        <f>_xlfn.XLOOKUP(D42,products!$A$2:$A$49,products!$B$2:$B$49,0)</f>
        <v>Lib</v>
      </c>
      <c r="J42" t="str">
        <f>_xlfn.XLOOKUP(D42,products!$A$2:$A$49,products!$C$2:$C$49,0)</f>
        <v>M</v>
      </c>
      <c r="K42" s="4">
        <f>_xlfn.XLOOKUP(D42,products!$A$2:$A$49,products!$D$2:$D$49,0)</f>
        <v>1</v>
      </c>
      <c r="L42" s="5">
        <f>_xlfn.XLOOKUP(D42,products!$A$2:$A$49,products!$E$2:$E$49,0)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_xlfn.XLOOKUP(orders!C43,customers!$A$1:$A$1001,customers!$G$1:$G$1001,0)</f>
        <v>United States</v>
      </c>
      <c r="I43" t="str">
        <f>_xlfn.XLOOKUP(D43,products!$A$2:$A$49,products!$B$2:$B$49,0)</f>
        <v>Exc</v>
      </c>
      <c r="J43" t="str">
        <f>_xlfn.XLOOKUP(D43,products!$A$2:$A$49,products!$C$2:$C$49,0)</f>
        <v>D</v>
      </c>
      <c r="K43" s="4">
        <f>_xlfn.XLOOKUP(D43,products!$A$2:$A$49,products!$D$2:$D$49,0)</f>
        <v>0.2</v>
      </c>
      <c r="L43" s="5">
        <f>_xlfn.XLOOKUP(D43,products!$A$2:$A$49,products!$E$2:$E$49,0)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_xlfn.XLOOKUP(orders!C44,customers!$A$1:$A$1001,customers!$G$1:$G$1001,0)</f>
        <v>United States</v>
      </c>
      <c r="I44" t="str">
        <f>_xlfn.XLOOKUP(D44,products!$A$2:$A$49,products!$B$2:$B$49,0)</f>
        <v>Rob</v>
      </c>
      <c r="J44" t="str">
        <f>_xlfn.XLOOKUP(D44,products!$A$2:$A$49,products!$C$2:$C$49,0)</f>
        <v>D</v>
      </c>
      <c r="K44" s="4">
        <f>_xlfn.XLOOKUP(D44,products!$A$2:$A$49,products!$D$2:$D$49,0)</f>
        <v>0.2</v>
      </c>
      <c r="L44" s="5">
        <f>_xlfn.XLOOKUP(D44,products!$A$2:$A$49,products!$E$2:$E$49,0)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_xlfn.XLOOKUP(orders!C45,customers!$A$1:$A$1001,customers!$G$1:$G$1001,0)</f>
        <v>United States</v>
      </c>
      <c r="I45" t="str">
        <f>_xlfn.XLOOKUP(D45,products!$A$2:$A$49,products!$B$2:$B$49,0)</f>
        <v>Lib</v>
      </c>
      <c r="J45" t="str">
        <f>_xlfn.XLOOKUP(D45,products!$A$2:$A$49,products!$C$2:$C$49,0)</f>
        <v>L</v>
      </c>
      <c r="K45" s="4">
        <f>_xlfn.XLOOKUP(D45,products!$A$2:$A$49,products!$D$2:$D$49,0)</f>
        <v>2.5</v>
      </c>
      <c r="L45" s="5">
        <f>_xlfn.XLOOKUP(D45,products!$A$2:$A$49,products!$E$2:$E$49,0)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_xlfn.XLOOKUP(orders!C46,customers!$A$1:$A$1001,customers!$G$1:$G$1001,0)</f>
        <v>United States</v>
      </c>
      <c r="I46" t="str">
        <f>_xlfn.XLOOKUP(D46,products!$A$2:$A$49,products!$B$2:$B$49,0)</f>
        <v>Exc</v>
      </c>
      <c r="J46" t="str">
        <f>_xlfn.XLOOKUP(D46,products!$A$2:$A$49,products!$C$2:$C$49,0)</f>
        <v>M</v>
      </c>
      <c r="K46" s="4">
        <f>_xlfn.XLOOKUP(D46,products!$A$2:$A$49,products!$D$2:$D$49,0)</f>
        <v>0.5</v>
      </c>
      <c r="L46" s="5">
        <f>_xlfn.XLOOKUP(D46,products!$A$2:$A$49,products!$E$2:$E$49,0)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_xlfn.XLOOKUP(orders!C47,customers!$A$1:$A$1001,customers!$G$1:$G$1001,0)</f>
        <v>United States</v>
      </c>
      <c r="I47" t="str">
        <f>_xlfn.XLOOKUP(D47,products!$A$2:$A$49,products!$B$2:$B$49,0)</f>
        <v>Lib</v>
      </c>
      <c r="J47" t="str">
        <f>_xlfn.XLOOKUP(D47,products!$A$2:$A$49,products!$C$2:$C$49,0)</f>
        <v>D</v>
      </c>
      <c r="K47" s="4">
        <f>_xlfn.XLOOKUP(D47,products!$A$2:$A$49,products!$D$2:$D$49,0)</f>
        <v>2.5</v>
      </c>
      <c r="L47" s="5">
        <f>_xlfn.XLOOKUP(D47,products!$A$2:$A$49,products!$E$2:$E$49,0)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_xlfn.XLOOKUP(orders!C48,customers!$A$1:$A$1001,customers!$G$1:$G$1001,0)</f>
        <v>United States</v>
      </c>
      <c r="I48" t="str">
        <f>_xlfn.XLOOKUP(D48,products!$A$2:$A$49,products!$B$2:$B$49,0)</f>
        <v>Exc</v>
      </c>
      <c r="J48" t="str">
        <f>_xlfn.XLOOKUP(D48,products!$A$2:$A$49,products!$C$2:$C$49,0)</f>
        <v>M</v>
      </c>
      <c r="K48" s="4">
        <f>_xlfn.XLOOKUP(D48,products!$A$2:$A$49,products!$D$2:$D$49,0)</f>
        <v>2.5</v>
      </c>
      <c r="L48" s="5">
        <f>_xlfn.XLOOKUP(D48,products!$A$2:$A$49,products!$E$2:$E$49,0)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_xlfn.XLOOKUP(orders!C49,customers!$A$1:$A$1001,customers!$G$1:$G$1001,0)</f>
        <v>United States</v>
      </c>
      <c r="I49" t="str">
        <f>_xlfn.XLOOKUP(D49,products!$A$2:$A$49,products!$B$2:$B$49,0)</f>
        <v>Ara</v>
      </c>
      <c r="J49" t="str">
        <f>_xlfn.XLOOKUP(D49,products!$A$2:$A$49,products!$C$2:$C$49,0)</f>
        <v>L</v>
      </c>
      <c r="K49" s="4">
        <f>_xlfn.XLOOKUP(D49,products!$A$2:$A$49,products!$D$2:$D$49,0)</f>
        <v>0.2</v>
      </c>
      <c r="L49" s="5">
        <f>_xlfn.XLOOKUP(D49,products!$A$2:$A$49,products!$E$2:$E$49,0)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_xlfn.XLOOKUP(orders!C50,customers!$A$1:$A$1001,customers!$G$1:$G$1001,0)</f>
        <v>United States</v>
      </c>
      <c r="I50" t="str">
        <f>_xlfn.XLOOKUP(D50,products!$A$2:$A$49,products!$B$2:$B$49,0)</f>
        <v>Ara</v>
      </c>
      <c r="J50" t="str">
        <f>_xlfn.XLOOKUP(D50,products!$A$2:$A$49,products!$C$2:$C$49,0)</f>
        <v>D</v>
      </c>
      <c r="K50" s="4">
        <f>_xlfn.XLOOKUP(D50,products!$A$2:$A$49,products!$D$2:$D$49,0)</f>
        <v>2.5</v>
      </c>
      <c r="L50" s="5">
        <f>_xlfn.XLOOKUP(D50,products!$A$2:$A$49,products!$E$2:$E$49,0)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_xlfn.XLOOKUP(orders!C51,customers!$A$1:$A$1001,customers!$G$1:$G$1001,0)</f>
        <v>United States</v>
      </c>
      <c r="I51" t="str">
        <f>_xlfn.XLOOKUP(D51,products!$A$2:$A$49,products!$B$2:$B$49,0)</f>
        <v>Ara</v>
      </c>
      <c r="J51" t="str">
        <f>_xlfn.XLOOKUP(D51,products!$A$2:$A$49,products!$C$2:$C$49,0)</f>
        <v>L</v>
      </c>
      <c r="K51" s="4">
        <f>_xlfn.XLOOKUP(D51,products!$A$2:$A$49,products!$D$2:$D$49,0)</f>
        <v>1</v>
      </c>
      <c r="L51" s="5">
        <f>_xlfn.XLOOKUP(D51,products!$A$2:$A$49,products!$E$2:$E$49,0)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_xlfn.XLOOKUP(orders!C52,customers!$A$1:$A$1001,customers!$G$1:$G$1001,0)</f>
        <v>United States</v>
      </c>
      <c r="I52" t="str">
        <f>_xlfn.XLOOKUP(D52,products!$A$2:$A$49,products!$B$2:$B$49,0)</f>
        <v>Lib</v>
      </c>
      <c r="J52" t="str">
        <f>_xlfn.XLOOKUP(D52,products!$A$2:$A$49,products!$C$2:$C$49,0)</f>
        <v>D</v>
      </c>
      <c r="K52" s="4">
        <f>_xlfn.XLOOKUP(D52,products!$A$2:$A$49,products!$D$2:$D$49,0)</f>
        <v>0.5</v>
      </c>
      <c r="L52" s="5">
        <f>_xlfn.XLOOKUP(D52,products!$A$2:$A$49,products!$E$2:$E$49,0)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_xlfn.XLOOKUP(orders!C53,customers!$A$1:$A$1001,customers!$G$1:$G$1001,0)</f>
        <v>Ireland</v>
      </c>
      <c r="I53" t="str">
        <f>_xlfn.XLOOKUP(D53,products!$A$2:$A$49,products!$B$2:$B$49,0)</f>
        <v>Lib</v>
      </c>
      <c r="J53" t="str">
        <f>_xlfn.XLOOKUP(D53,products!$A$2:$A$49,products!$C$2:$C$49,0)</f>
        <v>L</v>
      </c>
      <c r="K53" s="4">
        <f>_xlfn.XLOOKUP(D53,products!$A$2:$A$49,products!$D$2:$D$49,0)</f>
        <v>2.5</v>
      </c>
      <c r="L53" s="5">
        <f>_xlfn.XLOOKUP(D53,products!$A$2:$A$49,products!$E$2:$E$49,0)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_xlfn.XLOOKUP(orders!C54,customers!$A$1:$A$1001,customers!$G$1:$G$1001,0)</f>
        <v>United Kingdom</v>
      </c>
      <c r="I54" t="str">
        <f>_xlfn.XLOOKUP(D54,products!$A$2:$A$49,products!$B$2:$B$49,0)</f>
        <v>Rob</v>
      </c>
      <c r="J54" t="str">
        <f>_xlfn.XLOOKUP(D54,products!$A$2:$A$49,products!$C$2:$C$49,0)</f>
        <v>M</v>
      </c>
      <c r="K54" s="4">
        <f>_xlfn.XLOOKUP(D54,products!$A$2:$A$49,products!$D$2:$D$49,0)</f>
        <v>0.5</v>
      </c>
      <c r="L54" s="5">
        <f>_xlfn.XLOOKUP(D54,products!$A$2:$A$49,products!$E$2:$E$49,0)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_xlfn.XLOOKUP(orders!C55,customers!$A$1:$A$1001,customers!$G$1:$G$1001,0)</f>
        <v>United Kingdom</v>
      </c>
      <c r="I55" t="str">
        <f>_xlfn.XLOOKUP(D55,products!$A$2:$A$49,products!$B$2:$B$49,0)</f>
        <v>Lib</v>
      </c>
      <c r="J55" t="str">
        <f>_xlfn.XLOOKUP(D55,products!$A$2:$A$49,products!$C$2:$C$49,0)</f>
        <v>L</v>
      </c>
      <c r="K55" s="4">
        <f>_xlfn.XLOOKUP(D55,products!$A$2:$A$49,products!$D$2:$D$49,0)</f>
        <v>2.5</v>
      </c>
      <c r="L55" s="5">
        <f>_xlfn.XLOOKUP(D55,products!$A$2:$A$49,products!$E$2:$E$49,0)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_xlfn.XLOOKUP(orders!C56,customers!$A$1:$A$1001,customers!$G$1:$G$1001,0)</f>
        <v>United States</v>
      </c>
      <c r="I56" t="str">
        <f>_xlfn.XLOOKUP(D56,products!$A$2:$A$49,products!$B$2:$B$49,0)</f>
        <v>Lib</v>
      </c>
      <c r="J56" t="str">
        <f>_xlfn.XLOOKUP(D56,products!$A$2:$A$49,products!$C$2:$C$49,0)</f>
        <v>M</v>
      </c>
      <c r="K56" s="4">
        <f>_xlfn.XLOOKUP(D56,products!$A$2:$A$49,products!$D$2:$D$49,0)</f>
        <v>1</v>
      </c>
      <c r="L56" s="5">
        <f>_xlfn.XLOOKUP(D56,products!$A$2:$A$49,products!$E$2:$E$49,0)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_xlfn.XLOOKUP(orders!C57,customers!$A$1:$A$1001,customers!$G$1:$G$1001,0)</f>
        <v>United States</v>
      </c>
      <c r="I57" t="str">
        <f>_xlfn.XLOOKUP(D57,products!$A$2:$A$49,products!$B$2:$B$49,0)</f>
        <v>Lib</v>
      </c>
      <c r="J57" t="str">
        <f>_xlfn.XLOOKUP(D57,products!$A$2:$A$49,products!$C$2:$C$49,0)</f>
        <v>L</v>
      </c>
      <c r="K57" s="4">
        <f>_xlfn.XLOOKUP(D57,products!$A$2:$A$49,products!$D$2:$D$49,0)</f>
        <v>1</v>
      </c>
      <c r="L57" s="5">
        <f>_xlfn.XLOOKUP(D57,products!$A$2:$A$49,products!$E$2:$E$49,0)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_xlfn.XLOOKUP(orders!C58,customers!$A$1:$A$1001,customers!$G$1:$G$1001,0)</f>
        <v>United States</v>
      </c>
      <c r="I58" t="str">
        <f>_xlfn.XLOOKUP(D58,products!$A$2:$A$49,products!$B$2:$B$49,0)</f>
        <v>Exc</v>
      </c>
      <c r="J58" t="str">
        <f>_xlfn.XLOOKUP(D58,products!$A$2:$A$49,products!$C$2:$C$49,0)</f>
        <v>D</v>
      </c>
      <c r="K58" s="4">
        <f>_xlfn.XLOOKUP(D58,products!$A$2:$A$49,products!$D$2:$D$49,0)</f>
        <v>0.2</v>
      </c>
      <c r="L58" s="5">
        <f>_xlfn.XLOOKUP(D58,products!$A$2:$A$49,products!$E$2:$E$49,0)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_xlfn.XLOOKUP(orders!C59,customers!$A$1:$A$1001,customers!$G$1:$G$1001,0)</f>
        <v>United States</v>
      </c>
      <c r="I59" t="str">
        <f>_xlfn.XLOOKUP(D59,products!$A$2:$A$49,products!$B$2:$B$49,0)</f>
        <v>Exc</v>
      </c>
      <c r="J59" t="str">
        <f>_xlfn.XLOOKUP(D59,products!$A$2:$A$49,products!$C$2:$C$49,0)</f>
        <v>L</v>
      </c>
      <c r="K59" s="4">
        <f>_xlfn.XLOOKUP(D59,products!$A$2:$A$49,products!$D$2:$D$49,0)</f>
        <v>1</v>
      </c>
      <c r="L59" s="5">
        <f>_xlfn.XLOOKUP(D59,products!$A$2:$A$49,products!$E$2:$E$49,0)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_xlfn.XLOOKUP(orders!C60,customers!$A$1:$A$1001,customers!$G$1:$G$1001,0)</f>
        <v>United States</v>
      </c>
      <c r="I60" t="str">
        <f>_xlfn.XLOOKUP(D60,products!$A$2:$A$49,products!$B$2:$B$49,0)</f>
        <v>Lib</v>
      </c>
      <c r="J60" t="str">
        <f>_xlfn.XLOOKUP(D60,products!$A$2:$A$49,products!$C$2:$C$49,0)</f>
        <v>D</v>
      </c>
      <c r="K60" s="4">
        <f>_xlfn.XLOOKUP(D60,products!$A$2:$A$49,products!$D$2:$D$49,0)</f>
        <v>2.5</v>
      </c>
      <c r="L60" s="5">
        <f>_xlfn.XLOOKUP(D60,products!$A$2:$A$49,products!$E$2:$E$49,0)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_xlfn.XLOOKUP(orders!C61,customers!$A$1:$A$1001,customers!$G$1:$G$1001,0)</f>
        <v>United States</v>
      </c>
      <c r="I61" t="str">
        <f>_xlfn.XLOOKUP(D61,products!$A$2:$A$49,products!$B$2:$B$49,0)</f>
        <v>Lib</v>
      </c>
      <c r="J61" t="str">
        <f>_xlfn.XLOOKUP(D61,products!$A$2:$A$49,products!$C$2:$C$49,0)</f>
        <v>M</v>
      </c>
      <c r="K61" s="4">
        <f>_xlfn.XLOOKUP(D61,products!$A$2:$A$49,products!$D$2:$D$49,0)</f>
        <v>0.5</v>
      </c>
      <c r="L61" s="5">
        <f>_xlfn.XLOOKUP(D61,products!$A$2:$A$49,products!$E$2:$E$49,0)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_xlfn.XLOOKUP(orders!C62,customers!$A$1:$A$1001,customers!$G$1:$G$1001,0)</f>
        <v>United States</v>
      </c>
      <c r="I62" t="str">
        <f>_xlfn.XLOOKUP(D62,products!$A$2:$A$49,products!$B$2:$B$49,0)</f>
        <v>Ara</v>
      </c>
      <c r="J62" t="str">
        <f>_xlfn.XLOOKUP(D62,products!$A$2:$A$49,products!$C$2:$C$49,0)</f>
        <v>D</v>
      </c>
      <c r="K62" s="4">
        <f>_xlfn.XLOOKUP(D62,products!$A$2:$A$49,products!$D$2:$D$49,0)</f>
        <v>2.5</v>
      </c>
      <c r="L62" s="5">
        <f>_xlfn.XLOOKUP(D62,products!$A$2:$A$49,products!$E$2:$E$49,0)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_xlfn.XLOOKUP(orders!C63,customers!$A$1:$A$1001,customers!$G$1:$G$1001,0)</f>
        <v>United Kingdom</v>
      </c>
      <c r="I63" t="str">
        <f>_xlfn.XLOOKUP(D63,products!$A$2:$A$49,products!$B$2:$B$49,0)</f>
        <v>Rob</v>
      </c>
      <c r="J63" t="str">
        <f>_xlfn.XLOOKUP(D63,products!$A$2:$A$49,products!$C$2:$C$49,0)</f>
        <v>D</v>
      </c>
      <c r="K63" s="4">
        <f>_xlfn.XLOOKUP(D63,products!$A$2:$A$49,products!$D$2:$D$49,0)</f>
        <v>0.5</v>
      </c>
      <c r="L63" s="5">
        <f>_xlfn.XLOOKUP(D63,products!$A$2:$A$49,products!$E$2:$E$49,0)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_xlfn.XLOOKUP(orders!C64,customers!$A$1:$A$1001,customers!$G$1:$G$1001,0)</f>
        <v>United States</v>
      </c>
      <c r="I64" t="str">
        <f>_xlfn.XLOOKUP(D64,products!$A$2:$A$49,products!$B$2:$B$49,0)</f>
        <v>Lib</v>
      </c>
      <c r="J64" t="str">
        <f>_xlfn.XLOOKUP(D64,products!$A$2:$A$49,products!$C$2:$C$49,0)</f>
        <v>L</v>
      </c>
      <c r="K64" s="4">
        <f>_xlfn.XLOOKUP(D64,products!$A$2:$A$49,products!$D$2:$D$49,0)</f>
        <v>0.2</v>
      </c>
      <c r="L64" s="5">
        <f>_xlfn.XLOOKUP(D64,products!$A$2:$A$49,products!$E$2:$E$49,0)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_xlfn.XLOOKUP(orders!C65,customers!$A$1:$A$1001,customers!$G$1:$G$1001,0)</f>
        <v>United States</v>
      </c>
      <c r="I65" t="str">
        <f>_xlfn.XLOOKUP(D65,products!$A$2:$A$49,products!$B$2:$B$49,0)</f>
        <v>Ara</v>
      </c>
      <c r="J65" t="str">
        <f>_xlfn.XLOOKUP(D65,products!$A$2:$A$49,products!$C$2:$C$49,0)</f>
        <v>M</v>
      </c>
      <c r="K65" s="4">
        <f>_xlfn.XLOOKUP(D65,products!$A$2:$A$49,products!$D$2:$D$49,0)</f>
        <v>0.5</v>
      </c>
      <c r="L65" s="5">
        <f>_xlfn.XLOOKUP(D65,products!$A$2:$A$49,products!$E$2:$E$49,0)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_xlfn.XLOOKUP(orders!C66,customers!$A$1:$A$1001,customers!$G$1:$G$1001,0)</f>
        <v>United States</v>
      </c>
      <c r="I66" t="str">
        <f>_xlfn.XLOOKUP(D66,products!$A$2:$A$49,products!$B$2:$B$49,0)</f>
        <v>Rob</v>
      </c>
      <c r="J66" t="str">
        <f>_xlfn.XLOOKUP(D66,products!$A$2:$A$49,products!$C$2:$C$49,0)</f>
        <v>M</v>
      </c>
      <c r="K66" s="4">
        <f>_xlfn.XLOOKUP(D66,products!$A$2:$A$49,products!$D$2:$D$49,0)</f>
        <v>0.5</v>
      </c>
      <c r="L66" s="5">
        <f>_xlfn.XLOOKUP(D66,products!$A$2:$A$49,products!$E$2:$E$49,0)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_xlfn.XLOOKUP(orders!C67,customers!$A$1:$A$1001,customers!$G$1:$G$1001,0)</f>
        <v>United States</v>
      </c>
      <c r="I67" t="str">
        <f>_xlfn.XLOOKUP(D67,products!$A$2:$A$49,products!$B$2:$B$49,0)</f>
        <v>Rob</v>
      </c>
      <c r="J67" t="str">
        <f>_xlfn.XLOOKUP(D67,products!$A$2:$A$49,products!$C$2:$C$49,0)</f>
        <v>D</v>
      </c>
      <c r="K67" s="4">
        <f>_xlfn.XLOOKUP(D67,products!$A$2:$A$49,products!$D$2:$D$49,0)</f>
        <v>2.5</v>
      </c>
      <c r="L67" s="5">
        <f>_xlfn.XLOOKUP(D67,products!$A$2:$A$49,products!$E$2:$E$49,0)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_xlfn.XLOOKUP(orders!C68,customers!$A$1:$A$1001,customers!$G$1:$G$1001,0)</f>
        <v>United States</v>
      </c>
      <c r="I68" t="str">
        <f>_xlfn.XLOOKUP(D68,products!$A$2:$A$49,products!$B$2:$B$49,0)</f>
        <v>Rob</v>
      </c>
      <c r="J68" t="str">
        <f>_xlfn.XLOOKUP(D68,products!$A$2:$A$49,products!$C$2:$C$49,0)</f>
        <v>L</v>
      </c>
      <c r="K68" s="4">
        <f>_xlfn.XLOOKUP(D68,products!$A$2:$A$49,products!$D$2:$D$49,0)</f>
        <v>0.5</v>
      </c>
      <c r="L68" s="5">
        <f>_xlfn.XLOOKUP(D68,products!$A$2:$A$49,products!$E$2:$E$49,0)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_xlfn.XLOOKUP(orders!C69,customers!$A$1:$A$1001,customers!$G$1:$G$1001,0)</f>
        <v>United States</v>
      </c>
      <c r="I69" t="str">
        <f>_xlfn.XLOOKUP(D69,products!$A$2:$A$49,products!$B$2:$B$49,0)</f>
        <v>Lib</v>
      </c>
      <c r="J69" t="str">
        <f>_xlfn.XLOOKUP(D69,products!$A$2:$A$49,products!$C$2:$C$49,0)</f>
        <v>L</v>
      </c>
      <c r="K69" s="4">
        <f>_xlfn.XLOOKUP(D69,products!$A$2:$A$49,products!$D$2:$D$49,0)</f>
        <v>0.2</v>
      </c>
      <c r="L69" s="5">
        <f>_xlfn.XLOOKUP(D69,products!$A$2:$A$49,products!$E$2:$E$49,0)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_xlfn.XLOOKUP(orders!C70,customers!$A$1:$A$1001,customers!$G$1:$G$1001,0)</f>
        <v>United States</v>
      </c>
      <c r="I70" t="str">
        <f>_xlfn.XLOOKUP(D70,products!$A$2:$A$49,products!$B$2:$B$49,0)</f>
        <v>Rob</v>
      </c>
      <c r="J70" t="str">
        <f>_xlfn.XLOOKUP(D70,products!$A$2:$A$49,products!$C$2:$C$49,0)</f>
        <v>M</v>
      </c>
      <c r="K70" s="4">
        <f>_xlfn.XLOOKUP(D70,products!$A$2:$A$49,products!$D$2:$D$49,0)</f>
        <v>0.2</v>
      </c>
      <c r="L70" s="5">
        <f>_xlfn.XLOOKUP(D70,products!$A$2:$A$49,products!$E$2:$E$49,0)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_xlfn.XLOOKUP(orders!C71,customers!$A$1:$A$1001,customers!$G$1:$G$1001,0)</f>
        <v>United Kingdom</v>
      </c>
      <c r="I71" t="str">
        <f>_xlfn.XLOOKUP(D71,products!$A$2:$A$49,products!$B$2:$B$49,0)</f>
        <v>Rob</v>
      </c>
      <c r="J71" t="str">
        <f>_xlfn.XLOOKUP(D71,products!$A$2:$A$49,products!$C$2:$C$49,0)</f>
        <v>M</v>
      </c>
      <c r="K71" s="4">
        <f>_xlfn.XLOOKUP(D71,products!$A$2:$A$49,products!$D$2:$D$49,0)</f>
        <v>1</v>
      </c>
      <c r="L71" s="5">
        <f>_xlfn.XLOOKUP(D71,products!$A$2:$A$49,products!$E$2:$E$49,0)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_xlfn.XLOOKUP(orders!C72,customers!$A$1:$A$1001,customers!$G$1:$G$1001,0)</f>
        <v>United States</v>
      </c>
      <c r="I72" t="str">
        <f>_xlfn.XLOOKUP(D72,products!$A$2:$A$49,products!$B$2:$B$49,0)</f>
        <v>Exc</v>
      </c>
      <c r="J72" t="str">
        <f>_xlfn.XLOOKUP(D72,products!$A$2:$A$49,products!$C$2:$C$49,0)</f>
        <v>L</v>
      </c>
      <c r="K72" s="4">
        <f>_xlfn.XLOOKUP(D72,products!$A$2:$A$49,products!$D$2:$D$49,0)</f>
        <v>2.5</v>
      </c>
      <c r="L72" s="5">
        <f>_xlfn.XLOOKUP(D72,products!$A$2:$A$49,products!$E$2:$E$49,0)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_xlfn.XLOOKUP(orders!C73,customers!$A$1:$A$1001,customers!$G$1:$G$1001,0)</f>
        <v>Ireland</v>
      </c>
      <c r="I73" t="str">
        <f>_xlfn.XLOOKUP(D73,products!$A$2:$A$49,products!$B$2:$B$49,0)</f>
        <v>Lib</v>
      </c>
      <c r="J73" t="str">
        <f>_xlfn.XLOOKUP(D73,products!$A$2:$A$49,products!$C$2:$C$49,0)</f>
        <v>L</v>
      </c>
      <c r="K73" s="4">
        <f>_xlfn.XLOOKUP(D73,products!$A$2:$A$49,products!$D$2:$D$49,0)</f>
        <v>0.2</v>
      </c>
      <c r="L73" s="5">
        <f>_xlfn.XLOOKUP(D73,products!$A$2:$A$49,products!$E$2:$E$49,0)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_xlfn.XLOOKUP(orders!C74,customers!$A$1:$A$1001,customers!$G$1:$G$1001,0)</f>
        <v>United States</v>
      </c>
      <c r="I74" t="str">
        <f>_xlfn.XLOOKUP(D74,products!$A$2:$A$49,products!$B$2:$B$49,0)</f>
        <v>Ara</v>
      </c>
      <c r="J74" t="str">
        <f>_xlfn.XLOOKUP(D74,products!$A$2:$A$49,products!$C$2:$C$49,0)</f>
        <v>M</v>
      </c>
      <c r="K74" s="4">
        <f>_xlfn.XLOOKUP(D74,products!$A$2:$A$49,products!$D$2:$D$49,0)</f>
        <v>2.5</v>
      </c>
      <c r="L74" s="5">
        <f>_xlfn.XLOOKUP(D74,products!$A$2:$A$49,products!$E$2:$E$49,0)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_xlfn.XLOOKUP(orders!C75,customers!$A$1:$A$1001,customers!$G$1:$G$1001,0)</f>
        <v>United States</v>
      </c>
      <c r="I75" t="str">
        <f>_xlfn.XLOOKUP(D75,products!$A$2:$A$49,products!$B$2:$B$49,0)</f>
        <v>Lib</v>
      </c>
      <c r="J75" t="str">
        <f>_xlfn.XLOOKUP(D75,products!$A$2:$A$49,products!$C$2:$C$49,0)</f>
        <v>M</v>
      </c>
      <c r="K75" s="4">
        <f>_xlfn.XLOOKUP(D75,products!$A$2:$A$49,products!$D$2:$D$49,0)</f>
        <v>0.2</v>
      </c>
      <c r="L75" s="5">
        <f>_xlfn.XLOOKUP(D75,products!$A$2:$A$49,products!$E$2:$E$49,0)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_xlfn.XLOOKUP(orders!C76,customers!$A$1:$A$1001,customers!$G$1:$G$1001,0)</f>
        <v>United States</v>
      </c>
      <c r="I76" t="str">
        <f>_xlfn.XLOOKUP(D76,products!$A$2:$A$49,products!$B$2:$B$49,0)</f>
        <v>Exc</v>
      </c>
      <c r="J76" t="str">
        <f>_xlfn.XLOOKUP(D76,products!$A$2:$A$49,products!$C$2:$C$49,0)</f>
        <v>L</v>
      </c>
      <c r="K76" s="4">
        <f>_xlfn.XLOOKUP(D76,products!$A$2:$A$49,products!$D$2:$D$49,0)</f>
        <v>0.5</v>
      </c>
      <c r="L76" s="5">
        <f>_xlfn.XLOOKUP(D76,products!$A$2:$A$49,products!$E$2:$E$49,0)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_xlfn.XLOOKUP(orders!C77,customers!$A$1:$A$1001,customers!$G$1:$G$1001,0)</f>
        <v>Ireland</v>
      </c>
      <c r="I77" t="str">
        <f>_xlfn.XLOOKUP(D77,products!$A$2:$A$49,products!$B$2:$B$49,0)</f>
        <v>Rob</v>
      </c>
      <c r="J77" t="str">
        <f>_xlfn.XLOOKUP(D77,products!$A$2:$A$49,products!$C$2:$C$49,0)</f>
        <v>D</v>
      </c>
      <c r="K77" s="4">
        <f>_xlfn.XLOOKUP(D77,products!$A$2:$A$49,products!$D$2:$D$49,0)</f>
        <v>1</v>
      </c>
      <c r="L77" s="5">
        <f>_xlfn.XLOOKUP(D77,products!$A$2:$A$49,products!$E$2:$E$49,0)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_xlfn.XLOOKUP(orders!C78,customers!$A$1:$A$1001,customers!$G$1:$G$1001,0)</f>
        <v>Ireland</v>
      </c>
      <c r="I78" t="str">
        <f>_xlfn.XLOOKUP(D78,products!$A$2:$A$49,products!$B$2:$B$49,0)</f>
        <v>Rob</v>
      </c>
      <c r="J78" t="str">
        <f>_xlfn.XLOOKUP(D78,products!$A$2:$A$49,products!$C$2:$C$49,0)</f>
        <v>L</v>
      </c>
      <c r="K78" s="4">
        <f>_xlfn.XLOOKUP(D78,products!$A$2:$A$49,products!$D$2:$D$49,0)</f>
        <v>0.2</v>
      </c>
      <c r="L78" s="5">
        <f>_xlfn.XLOOKUP(D78,products!$A$2:$A$49,products!$E$2:$E$49,0)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_xlfn.XLOOKUP(orders!C79,customers!$A$1:$A$1001,customers!$G$1:$G$1001,0)</f>
        <v>United States</v>
      </c>
      <c r="I79" t="str">
        <f>_xlfn.XLOOKUP(D79,products!$A$2:$A$49,products!$B$2:$B$49,0)</f>
        <v>Exc</v>
      </c>
      <c r="J79" t="str">
        <f>_xlfn.XLOOKUP(D79,products!$A$2:$A$49,products!$C$2:$C$49,0)</f>
        <v>D</v>
      </c>
      <c r="K79" s="4">
        <f>_xlfn.XLOOKUP(D79,products!$A$2:$A$49,products!$D$2:$D$49,0)</f>
        <v>0.2</v>
      </c>
      <c r="L79" s="5">
        <f>_xlfn.XLOOKUP(D79,products!$A$2:$A$49,products!$E$2:$E$49,0)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_xlfn.XLOOKUP(orders!C80,customers!$A$1:$A$1001,customers!$G$1:$G$1001,0)</f>
        <v>United States</v>
      </c>
      <c r="I80" t="str">
        <f>_xlfn.XLOOKUP(D80,products!$A$2:$A$49,products!$B$2:$B$49,0)</f>
        <v>Ara</v>
      </c>
      <c r="J80" t="str">
        <f>_xlfn.XLOOKUP(D80,products!$A$2:$A$49,products!$C$2:$C$49,0)</f>
        <v>M</v>
      </c>
      <c r="K80" s="4">
        <f>_xlfn.XLOOKUP(D80,products!$A$2:$A$49,products!$D$2:$D$49,0)</f>
        <v>0.5</v>
      </c>
      <c r="L80" s="5">
        <f>_xlfn.XLOOKUP(D80,products!$A$2:$A$49,products!$E$2:$E$49,0)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_xlfn.XLOOKUP(orders!C81,customers!$A$1:$A$1001,customers!$G$1:$G$1001,0)</f>
        <v>United States</v>
      </c>
      <c r="I81" t="str">
        <f>_xlfn.XLOOKUP(D81,products!$A$2:$A$49,products!$B$2:$B$49,0)</f>
        <v>Rob</v>
      </c>
      <c r="J81" t="str">
        <f>_xlfn.XLOOKUP(D81,products!$A$2:$A$49,products!$C$2:$C$49,0)</f>
        <v>L</v>
      </c>
      <c r="K81" s="4">
        <f>_xlfn.XLOOKUP(D81,products!$A$2:$A$49,products!$D$2:$D$49,0)</f>
        <v>1</v>
      </c>
      <c r="L81" s="5">
        <f>_xlfn.XLOOKUP(D81,products!$A$2:$A$49,products!$E$2:$E$49,0)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_xlfn.XLOOKUP(orders!C82,customers!$A$1:$A$1001,customers!$G$1:$G$1001,0)</f>
        <v>United States</v>
      </c>
      <c r="I82" t="str">
        <f>_xlfn.XLOOKUP(D82,products!$A$2:$A$49,products!$B$2:$B$49,0)</f>
        <v>Ara</v>
      </c>
      <c r="J82" t="str">
        <f>_xlfn.XLOOKUP(D82,products!$A$2:$A$49,products!$C$2:$C$49,0)</f>
        <v>L</v>
      </c>
      <c r="K82" s="4">
        <f>_xlfn.XLOOKUP(D82,products!$A$2:$A$49,products!$D$2:$D$49,0)</f>
        <v>0.5</v>
      </c>
      <c r="L82" s="5">
        <f>_xlfn.XLOOKUP(D82,products!$A$2:$A$49,products!$E$2:$E$49,0)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_xlfn.XLOOKUP(orders!C83,customers!$A$1:$A$1001,customers!$G$1:$G$1001,0)</f>
        <v>United States</v>
      </c>
      <c r="I83" t="str">
        <f>_xlfn.XLOOKUP(D83,products!$A$2:$A$49,products!$B$2:$B$49,0)</f>
        <v>Lib</v>
      </c>
      <c r="J83" t="str">
        <f>_xlfn.XLOOKUP(D83,products!$A$2:$A$49,products!$C$2:$C$49,0)</f>
        <v>L</v>
      </c>
      <c r="K83" s="4">
        <f>_xlfn.XLOOKUP(D83,products!$A$2:$A$49,products!$D$2:$D$49,0)</f>
        <v>2.5</v>
      </c>
      <c r="L83" s="5">
        <f>_xlfn.XLOOKUP(D83,products!$A$2:$A$49,products!$E$2:$E$49,0)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_xlfn.XLOOKUP(orders!C84,customers!$A$1:$A$1001,customers!$G$1:$G$1001,0)</f>
        <v>Ireland</v>
      </c>
      <c r="I84" t="str">
        <f>_xlfn.XLOOKUP(D84,products!$A$2:$A$49,products!$B$2:$B$49,0)</f>
        <v>Lib</v>
      </c>
      <c r="J84" t="str">
        <f>_xlfn.XLOOKUP(D84,products!$A$2:$A$49,products!$C$2:$C$49,0)</f>
        <v>M</v>
      </c>
      <c r="K84" s="4">
        <f>_xlfn.XLOOKUP(D84,products!$A$2:$A$49,products!$D$2:$D$49,0)</f>
        <v>2.5</v>
      </c>
      <c r="L84" s="5">
        <f>_xlfn.XLOOKUP(D84,products!$A$2:$A$49,products!$E$2:$E$49,0)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_xlfn.XLOOKUP(orders!C85,customers!$A$1:$A$1001,customers!$G$1:$G$1001,0)</f>
        <v>United States</v>
      </c>
      <c r="I85" t="str">
        <f>_xlfn.XLOOKUP(D85,products!$A$2:$A$49,products!$B$2:$B$49,0)</f>
        <v>Rob</v>
      </c>
      <c r="J85" t="str">
        <f>_xlfn.XLOOKUP(D85,products!$A$2:$A$49,products!$C$2:$C$49,0)</f>
        <v>D</v>
      </c>
      <c r="K85" s="4">
        <f>_xlfn.XLOOKUP(D85,products!$A$2:$A$49,products!$D$2:$D$49,0)</f>
        <v>2.5</v>
      </c>
      <c r="L85" s="5">
        <f>_xlfn.XLOOKUP(D85,products!$A$2:$A$49,products!$E$2:$E$49,0)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_xlfn.XLOOKUP(orders!C86,customers!$A$1:$A$1001,customers!$G$1:$G$1001,0)</f>
        <v>United States</v>
      </c>
      <c r="I86" t="str">
        <f>_xlfn.XLOOKUP(D86,products!$A$2:$A$49,products!$B$2:$B$49,0)</f>
        <v>Lib</v>
      </c>
      <c r="J86" t="str">
        <f>_xlfn.XLOOKUP(D86,products!$A$2:$A$49,products!$C$2:$C$49,0)</f>
        <v>L</v>
      </c>
      <c r="K86" s="4">
        <f>_xlfn.XLOOKUP(D86,products!$A$2:$A$49,products!$D$2:$D$49,0)</f>
        <v>0.5</v>
      </c>
      <c r="L86" s="5">
        <f>_xlfn.XLOOKUP(D86,products!$A$2:$A$49,products!$E$2:$E$49,0)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_xlfn.XLOOKUP(orders!C87,customers!$A$1:$A$1001,customers!$G$1:$G$1001,0)</f>
        <v>United States</v>
      </c>
      <c r="I87" t="str">
        <f>_xlfn.XLOOKUP(D87,products!$A$2:$A$49,products!$B$2:$B$49,0)</f>
        <v>Ara</v>
      </c>
      <c r="J87" t="str">
        <f>_xlfn.XLOOKUP(D87,products!$A$2:$A$49,products!$C$2:$C$49,0)</f>
        <v>L</v>
      </c>
      <c r="K87" s="4">
        <f>_xlfn.XLOOKUP(D87,products!$A$2:$A$49,products!$D$2:$D$49,0)</f>
        <v>2.5</v>
      </c>
      <c r="L87" s="5">
        <f>_xlfn.XLOOKUP(D87,products!$A$2:$A$49,products!$E$2:$E$49,0)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_xlfn.XLOOKUP(orders!C88,customers!$A$1:$A$1001,customers!$G$1:$G$1001,0)</f>
        <v>United States</v>
      </c>
      <c r="I88" t="str">
        <f>_xlfn.XLOOKUP(D88,products!$A$2:$A$49,products!$B$2:$B$49,0)</f>
        <v>Ara</v>
      </c>
      <c r="J88" t="str">
        <f>_xlfn.XLOOKUP(D88,products!$A$2:$A$49,products!$C$2:$C$49,0)</f>
        <v>D</v>
      </c>
      <c r="K88" s="4">
        <f>_xlfn.XLOOKUP(D88,products!$A$2:$A$49,products!$D$2:$D$49,0)</f>
        <v>0.2</v>
      </c>
      <c r="L88" s="5">
        <f>_xlfn.XLOOKUP(D88,products!$A$2:$A$49,products!$E$2:$E$49,0)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_xlfn.XLOOKUP(orders!C89,customers!$A$1:$A$1001,customers!$G$1:$G$1001,0)</f>
        <v>United States</v>
      </c>
      <c r="I89" t="str">
        <f>_xlfn.XLOOKUP(D89,products!$A$2:$A$49,products!$B$2:$B$49,0)</f>
        <v>Ara</v>
      </c>
      <c r="J89" t="str">
        <f>_xlfn.XLOOKUP(D89,products!$A$2:$A$49,products!$C$2:$C$49,0)</f>
        <v>M</v>
      </c>
      <c r="K89" s="4">
        <f>_xlfn.XLOOKUP(D89,products!$A$2:$A$49,products!$D$2:$D$49,0)</f>
        <v>1</v>
      </c>
      <c r="L89" s="5">
        <f>_xlfn.XLOOKUP(D89,products!$A$2:$A$49,products!$E$2:$E$49,0)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_xlfn.XLOOKUP(orders!C90,customers!$A$1:$A$1001,customers!$G$1:$G$1001,0)</f>
        <v>United States</v>
      </c>
      <c r="I90" t="str">
        <f>_xlfn.XLOOKUP(D90,products!$A$2:$A$49,products!$B$2:$B$49,0)</f>
        <v>Rob</v>
      </c>
      <c r="J90" t="str">
        <f>_xlfn.XLOOKUP(D90,products!$A$2:$A$49,products!$C$2:$C$49,0)</f>
        <v>L</v>
      </c>
      <c r="K90" s="4">
        <f>_xlfn.XLOOKUP(D90,products!$A$2:$A$49,products!$D$2:$D$49,0)</f>
        <v>1</v>
      </c>
      <c r="L90" s="5">
        <f>_xlfn.XLOOKUP(D90,products!$A$2:$A$49,products!$E$2:$E$49,0)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_xlfn.XLOOKUP(orders!C91,customers!$A$1:$A$1001,customers!$G$1:$G$1001,0)</f>
        <v>United States</v>
      </c>
      <c r="I91" t="str">
        <f>_xlfn.XLOOKUP(D91,products!$A$2:$A$49,products!$B$2:$B$49,0)</f>
        <v>Ara</v>
      </c>
      <c r="J91" t="str">
        <f>_xlfn.XLOOKUP(D91,products!$A$2:$A$49,products!$C$2:$C$49,0)</f>
        <v>L</v>
      </c>
      <c r="K91" s="4">
        <f>_xlfn.XLOOKUP(D91,products!$A$2:$A$49,products!$D$2:$D$49,0)</f>
        <v>1</v>
      </c>
      <c r="L91" s="5">
        <f>_xlfn.XLOOKUP(D91,products!$A$2:$A$49,products!$E$2:$E$49,0)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_xlfn.XLOOKUP(orders!C92,customers!$A$1:$A$1001,customers!$G$1:$G$1001,0)</f>
        <v>Ireland</v>
      </c>
      <c r="I92" t="str">
        <f>_xlfn.XLOOKUP(D92,products!$A$2:$A$49,products!$B$2:$B$49,0)</f>
        <v>Ara</v>
      </c>
      <c r="J92" t="str">
        <f>_xlfn.XLOOKUP(D92,products!$A$2:$A$49,products!$C$2:$C$49,0)</f>
        <v>L</v>
      </c>
      <c r="K92" s="4">
        <f>_xlfn.XLOOKUP(D92,products!$A$2:$A$49,products!$D$2:$D$49,0)</f>
        <v>1</v>
      </c>
      <c r="L92" s="5">
        <f>_xlfn.XLOOKUP(D92,products!$A$2:$A$49,products!$E$2:$E$49,0)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_xlfn.XLOOKUP(orders!C93,customers!$A$1:$A$1001,customers!$G$1:$G$1001,0)</f>
        <v>United States</v>
      </c>
      <c r="I93" t="str">
        <f>_xlfn.XLOOKUP(D93,products!$A$2:$A$49,products!$B$2:$B$49,0)</f>
        <v>Ara</v>
      </c>
      <c r="J93" t="str">
        <f>_xlfn.XLOOKUP(D93,products!$A$2:$A$49,products!$C$2:$C$49,0)</f>
        <v>M</v>
      </c>
      <c r="K93" s="4">
        <f>_xlfn.XLOOKUP(D93,products!$A$2:$A$49,products!$D$2:$D$49,0)</f>
        <v>2.5</v>
      </c>
      <c r="L93" s="5">
        <f>_xlfn.XLOOKUP(D93,products!$A$2:$A$49,products!$E$2:$E$49,0)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_xlfn.XLOOKUP(orders!C94,customers!$A$1:$A$1001,customers!$G$1:$G$1001,0)</f>
        <v>United States</v>
      </c>
      <c r="I94" t="str">
        <f>_xlfn.XLOOKUP(D94,products!$A$2:$A$49,products!$B$2:$B$49,0)</f>
        <v>Exc</v>
      </c>
      <c r="J94" t="str">
        <f>_xlfn.XLOOKUP(D94,products!$A$2:$A$49,products!$C$2:$C$49,0)</f>
        <v>L</v>
      </c>
      <c r="K94" s="4">
        <f>_xlfn.XLOOKUP(D94,products!$A$2:$A$49,products!$D$2:$D$49,0)</f>
        <v>1</v>
      </c>
      <c r="L94" s="5">
        <f>_xlfn.XLOOKUP(D94,products!$A$2:$A$49,products!$E$2:$E$49,0)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_xlfn.XLOOKUP(orders!C95,customers!$A$1:$A$1001,customers!$G$1:$G$1001,0)</f>
        <v>United Kingdom</v>
      </c>
      <c r="I95" t="str">
        <f>_xlfn.XLOOKUP(D95,products!$A$2:$A$49,products!$B$2:$B$49,0)</f>
        <v>Exc</v>
      </c>
      <c r="J95" t="str">
        <f>_xlfn.XLOOKUP(D95,products!$A$2:$A$49,products!$C$2:$C$49,0)</f>
        <v>L</v>
      </c>
      <c r="K95" s="4">
        <f>_xlfn.XLOOKUP(D95,products!$A$2:$A$49,products!$D$2:$D$49,0)</f>
        <v>0.5</v>
      </c>
      <c r="L95" s="5">
        <f>_xlfn.XLOOKUP(D95,products!$A$2:$A$49,products!$E$2:$E$49,0)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_xlfn.XLOOKUP(orders!C96,customers!$A$1:$A$1001,customers!$G$1:$G$1001,0)</f>
        <v>Ireland</v>
      </c>
      <c r="I96" t="str">
        <f>_xlfn.XLOOKUP(D96,products!$A$2:$A$49,products!$B$2:$B$49,0)</f>
        <v>Ara</v>
      </c>
      <c r="J96" t="str">
        <f>_xlfn.XLOOKUP(D96,products!$A$2:$A$49,products!$C$2:$C$49,0)</f>
        <v>D</v>
      </c>
      <c r="K96" s="4">
        <f>_xlfn.XLOOKUP(D96,products!$A$2:$A$49,products!$D$2:$D$49,0)</f>
        <v>0.2</v>
      </c>
      <c r="L96" s="5">
        <f>_xlfn.XLOOKUP(D96,products!$A$2:$A$49,products!$E$2:$E$49,0)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_xlfn.XLOOKUP(orders!C97,customers!$A$1:$A$1001,customers!$G$1:$G$1001,0)</f>
        <v>United States</v>
      </c>
      <c r="I97" t="str">
        <f>_xlfn.XLOOKUP(D97,products!$A$2:$A$49,products!$B$2:$B$49,0)</f>
        <v>Ara</v>
      </c>
      <c r="J97" t="str">
        <f>_xlfn.XLOOKUP(D97,products!$A$2:$A$49,products!$C$2:$C$49,0)</f>
        <v>M</v>
      </c>
      <c r="K97" s="4">
        <f>_xlfn.XLOOKUP(D97,products!$A$2:$A$49,products!$D$2:$D$49,0)</f>
        <v>2.5</v>
      </c>
      <c r="L97" s="5">
        <f>_xlfn.XLOOKUP(D97,products!$A$2:$A$49,products!$E$2:$E$49,0)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_xlfn.XLOOKUP(orders!C98,customers!$A$1:$A$1001,customers!$G$1:$G$1001,0)</f>
        <v>United States</v>
      </c>
      <c r="I98" t="str">
        <f>_xlfn.XLOOKUP(D98,products!$A$2:$A$49,products!$B$2:$B$49,0)</f>
        <v>Ara</v>
      </c>
      <c r="J98" t="str">
        <f>_xlfn.XLOOKUP(D98,products!$A$2:$A$49,products!$C$2:$C$49,0)</f>
        <v>D</v>
      </c>
      <c r="K98" s="4">
        <f>_xlfn.XLOOKUP(D98,products!$A$2:$A$49,products!$D$2:$D$49,0)</f>
        <v>0.2</v>
      </c>
      <c r="L98" s="5">
        <f>_xlfn.XLOOKUP(D98,products!$A$2:$A$49,products!$E$2:$E$49,0)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_xlfn.XLOOKUP(orders!C99,customers!$A$1:$A$1001,customers!$G$1:$G$1001,0)</f>
        <v>United States</v>
      </c>
      <c r="I99" t="str">
        <f>_xlfn.XLOOKUP(D99,products!$A$2:$A$49,products!$B$2:$B$49,0)</f>
        <v>Ara</v>
      </c>
      <c r="J99" t="str">
        <f>_xlfn.XLOOKUP(D99,products!$A$2:$A$49,products!$C$2:$C$49,0)</f>
        <v>M</v>
      </c>
      <c r="K99" s="4">
        <f>_xlfn.XLOOKUP(D99,products!$A$2:$A$49,products!$D$2:$D$49,0)</f>
        <v>0.5</v>
      </c>
      <c r="L99" s="5">
        <f>_xlfn.XLOOKUP(D99,products!$A$2:$A$49,products!$E$2:$E$49,0)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_xlfn.XLOOKUP(orders!C100,customers!$A$1:$A$1001,customers!$G$1:$G$1001,0)</f>
        <v>Ireland</v>
      </c>
      <c r="I100" t="str">
        <f>_xlfn.XLOOKUP(D100,products!$A$2:$A$49,products!$B$2:$B$49,0)</f>
        <v>Ara</v>
      </c>
      <c r="J100" t="str">
        <f>_xlfn.XLOOKUP(D100,products!$A$2:$A$49,products!$C$2:$C$49,0)</f>
        <v>D</v>
      </c>
      <c r="K100" s="4">
        <f>_xlfn.XLOOKUP(D100,products!$A$2:$A$49,products!$D$2:$D$49,0)</f>
        <v>0.2</v>
      </c>
      <c r="L100" s="5">
        <f>_xlfn.XLOOKUP(D100,products!$A$2:$A$49,products!$E$2:$E$49,0)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_xlfn.XLOOKUP(orders!C101,customers!$A$1:$A$1001,customers!$G$1:$G$1001,0)</f>
        <v>United States</v>
      </c>
      <c r="I101" t="str">
        <f>_xlfn.XLOOKUP(D101,products!$A$2:$A$49,products!$B$2:$B$49,0)</f>
        <v>Lib</v>
      </c>
      <c r="J101" t="str">
        <f>_xlfn.XLOOKUP(D101,products!$A$2:$A$49,products!$C$2:$C$49,0)</f>
        <v>M</v>
      </c>
      <c r="K101" s="4">
        <f>_xlfn.XLOOKUP(D101,products!$A$2:$A$49,products!$D$2:$D$49,0)</f>
        <v>0.2</v>
      </c>
      <c r="L101" s="5">
        <f>_xlfn.XLOOKUP(D101,products!$A$2:$A$49,products!$E$2:$E$49,0)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_xlfn.XLOOKUP(orders!C102,customers!$A$1:$A$1001,customers!$G$1:$G$1001,0)</f>
        <v>United States</v>
      </c>
      <c r="I102" t="str">
        <f>_xlfn.XLOOKUP(D102,products!$A$2:$A$49,products!$B$2:$B$49,0)</f>
        <v>Ara</v>
      </c>
      <c r="J102" t="str">
        <f>_xlfn.XLOOKUP(D102,products!$A$2:$A$49,products!$C$2:$C$49,0)</f>
        <v>L</v>
      </c>
      <c r="K102" s="4">
        <f>_xlfn.XLOOKUP(D102,products!$A$2:$A$49,products!$D$2:$D$49,0)</f>
        <v>0.2</v>
      </c>
      <c r="L102" s="5">
        <f>_xlfn.XLOOKUP(D102,products!$A$2:$A$49,products!$E$2:$E$49,0)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_xlfn.XLOOKUP(orders!C103,customers!$A$1:$A$1001,customers!$G$1:$G$1001,0)</f>
        <v>Ireland</v>
      </c>
      <c r="I103" t="str">
        <f>_xlfn.XLOOKUP(D103,products!$A$2:$A$49,products!$B$2:$B$49,0)</f>
        <v>Lib</v>
      </c>
      <c r="J103" t="str">
        <f>_xlfn.XLOOKUP(D103,products!$A$2:$A$49,products!$C$2:$C$49,0)</f>
        <v>D</v>
      </c>
      <c r="K103" s="4">
        <f>_xlfn.XLOOKUP(D103,products!$A$2:$A$49,products!$D$2:$D$49,0)</f>
        <v>2.5</v>
      </c>
      <c r="L103" s="5">
        <f>_xlfn.XLOOKUP(D103,products!$A$2:$A$49,products!$E$2:$E$49,0)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_xlfn.XLOOKUP(orders!C104,customers!$A$1:$A$1001,customers!$G$1:$G$1001,0)</f>
        <v>Ireland</v>
      </c>
      <c r="I104" t="str">
        <f>_xlfn.XLOOKUP(D104,products!$A$2:$A$49,products!$B$2:$B$49,0)</f>
        <v>Lib</v>
      </c>
      <c r="J104" t="str">
        <f>_xlfn.XLOOKUP(D104,products!$A$2:$A$49,products!$C$2:$C$49,0)</f>
        <v>D</v>
      </c>
      <c r="K104" s="4">
        <f>_xlfn.XLOOKUP(D104,products!$A$2:$A$49,products!$D$2:$D$49,0)</f>
        <v>1</v>
      </c>
      <c r="L104" s="5">
        <f>_xlfn.XLOOKUP(D104,products!$A$2:$A$49,products!$E$2:$E$49,0)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_xlfn.XLOOKUP(orders!C105,customers!$A$1:$A$1001,customers!$G$1:$G$1001,0)</f>
        <v>United States</v>
      </c>
      <c r="I105" t="str">
        <f>_xlfn.XLOOKUP(D105,products!$A$2:$A$49,products!$B$2:$B$49,0)</f>
        <v>Rob</v>
      </c>
      <c r="J105" t="str">
        <f>_xlfn.XLOOKUP(D105,products!$A$2:$A$49,products!$C$2:$C$49,0)</f>
        <v>M</v>
      </c>
      <c r="K105" s="4">
        <f>_xlfn.XLOOKUP(D105,products!$A$2:$A$49,products!$D$2:$D$49,0)</f>
        <v>0.2</v>
      </c>
      <c r="L105" s="5">
        <f>_xlfn.XLOOKUP(D105,products!$A$2:$A$49,products!$E$2:$E$49,0)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_xlfn.XLOOKUP(orders!C106,customers!$A$1:$A$1001,customers!$G$1:$G$1001,0)</f>
        <v>United States</v>
      </c>
      <c r="I106" t="str">
        <f>_xlfn.XLOOKUP(D106,products!$A$2:$A$49,products!$B$2:$B$49,0)</f>
        <v>Lib</v>
      </c>
      <c r="J106" t="str">
        <f>_xlfn.XLOOKUP(D106,products!$A$2:$A$49,products!$C$2:$C$49,0)</f>
        <v>M</v>
      </c>
      <c r="K106" s="4">
        <f>_xlfn.XLOOKUP(D106,products!$A$2:$A$49,products!$D$2:$D$49,0)</f>
        <v>1</v>
      </c>
      <c r="L106" s="5">
        <f>_xlfn.XLOOKUP(D106,products!$A$2:$A$49,products!$E$2:$E$49,0)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_xlfn.XLOOKUP(orders!C107,customers!$A$1:$A$1001,customers!$G$1:$G$1001,0)</f>
        <v>United States</v>
      </c>
      <c r="I107" t="str">
        <f>_xlfn.XLOOKUP(D107,products!$A$2:$A$49,products!$B$2:$B$49,0)</f>
        <v>Ara</v>
      </c>
      <c r="J107" t="str">
        <f>_xlfn.XLOOKUP(D107,products!$A$2:$A$49,products!$C$2:$C$49,0)</f>
        <v>M</v>
      </c>
      <c r="K107" s="4">
        <f>_xlfn.XLOOKUP(D107,products!$A$2:$A$49,products!$D$2:$D$49,0)</f>
        <v>0.5</v>
      </c>
      <c r="L107" s="5">
        <f>_xlfn.XLOOKUP(D107,products!$A$2:$A$49,products!$E$2:$E$49,0)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_xlfn.XLOOKUP(orders!C108,customers!$A$1:$A$1001,customers!$G$1:$G$1001,0)</f>
        <v>United States</v>
      </c>
      <c r="I108" t="str">
        <f>_xlfn.XLOOKUP(D108,products!$A$2:$A$49,products!$B$2:$B$49,0)</f>
        <v>Exc</v>
      </c>
      <c r="J108" t="str">
        <f>_xlfn.XLOOKUP(D108,products!$A$2:$A$49,products!$C$2:$C$49,0)</f>
        <v>D</v>
      </c>
      <c r="K108" s="4">
        <f>_xlfn.XLOOKUP(D108,products!$A$2:$A$49,products!$D$2:$D$49,0)</f>
        <v>1</v>
      </c>
      <c r="L108" s="5">
        <f>_xlfn.XLOOKUP(D108,products!$A$2:$A$49,products!$E$2:$E$49,0)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_xlfn.XLOOKUP(orders!C109,customers!$A$1:$A$1001,customers!$G$1:$G$1001,0)</f>
        <v>United States</v>
      </c>
      <c r="I109" t="str">
        <f>_xlfn.XLOOKUP(D109,products!$A$2:$A$49,products!$B$2:$B$49,0)</f>
        <v>Rob</v>
      </c>
      <c r="J109" t="str">
        <f>_xlfn.XLOOKUP(D109,products!$A$2:$A$49,products!$C$2:$C$49,0)</f>
        <v>M</v>
      </c>
      <c r="K109" s="4">
        <f>_xlfn.XLOOKUP(D109,products!$A$2:$A$49,products!$D$2:$D$49,0)</f>
        <v>0.5</v>
      </c>
      <c r="L109" s="5">
        <f>_xlfn.XLOOKUP(D109,products!$A$2:$A$49,products!$E$2:$E$49,0)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_xlfn.XLOOKUP(orders!C110,customers!$A$1:$A$1001,customers!$G$1:$G$1001,0)</f>
        <v>United States</v>
      </c>
      <c r="I110" t="str">
        <f>_xlfn.XLOOKUP(D110,products!$A$2:$A$49,products!$B$2:$B$49,0)</f>
        <v>Ara</v>
      </c>
      <c r="J110" t="str">
        <f>_xlfn.XLOOKUP(D110,products!$A$2:$A$49,products!$C$2:$C$49,0)</f>
        <v>M</v>
      </c>
      <c r="K110" s="4">
        <f>_xlfn.XLOOKUP(D110,products!$A$2:$A$49,products!$D$2:$D$49,0)</f>
        <v>0.5</v>
      </c>
      <c r="L110" s="5">
        <f>_xlfn.XLOOKUP(D110,products!$A$2:$A$49,products!$E$2:$E$49,0)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_xlfn.XLOOKUP(orders!C111,customers!$A$1:$A$1001,customers!$G$1:$G$1001,0)</f>
        <v>United States</v>
      </c>
      <c r="I111" t="str">
        <f>_xlfn.XLOOKUP(D111,products!$A$2:$A$49,products!$B$2:$B$49,0)</f>
        <v>Lib</v>
      </c>
      <c r="J111" t="str">
        <f>_xlfn.XLOOKUP(D111,products!$A$2:$A$49,products!$C$2:$C$49,0)</f>
        <v>D</v>
      </c>
      <c r="K111" s="4">
        <f>_xlfn.XLOOKUP(D111,products!$A$2:$A$49,products!$D$2:$D$49,0)</f>
        <v>0.5</v>
      </c>
      <c r="L111" s="5">
        <f>_xlfn.XLOOKUP(D111,products!$A$2:$A$49,products!$E$2:$E$49,0)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_xlfn.XLOOKUP(orders!C112,customers!$A$1:$A$1001,customers!$G$1:$G$1001,0)</f>
        <v>United States</v>
      </c>
      <c r="I112" t="str">
        <f>_xlfn.XLOOKUP(D112,products!$A$2:$A$49,products!$B$2:$B$49,0)</f>
        <v>Exc</v>
      </c>
      <c r="J112" t="str">
        <f>_xlfn.XLOOKUP(D112,products!$A$2:$A$49,products!$C$2:$C$49,0)</f>
        <v>L</v>
      </c>
      <c r="K112" s="4">
        <f>_xlfn.XLOOKUP(D112,products!$A$2:$A$49,products!$D$2:$D$49,0)</f>
        <v>0.2</v>
      </c>
      <c r="L112" s="5">
        <f>_xlfn.XLOOKUP(D112,products!$A$2:$A$49,products!$E$2:$E$49,0)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_xlfn.XLOOKUP(orders!C113,customers!$A$1:$A$1001,customers!$G$1:$G$1001,0)</f>
        <v>United States</v>
      </c>
      <c r="I113" t="str">
        <f>_xlfn.XLOOKUP(D113,products!$A$2:$A$49,products!$B$2:$B$49,0)</f>
        <v>Rob</v>
      </c>
      <c r="J113" t="str">
        <f>_xlfn.XLOOKUP(D113,products!$A$2:$A$49,products!$C$2:$C$49,0)</f>
        <v>D</v>
      </c>
      <c r="K113" s="4">
        <f>_xlfn.XLOOKUP(D113,products!$A$2:$A$49,products!$D$2:$D$49,0)</f>
        <v>0.5</v>
      </c>
      <c r="L113" s="5">
        <f>_xlfn.XLOOKUP(D113,products!$A$2:$A$49,products!$E$2:$E$49,0)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_xlfn.XLOOKUP(orders!C114,customers!$A$1:$A$1001,customers!$G$1:$G$1001,0)</f>
        <v>United States</v>
      </c>
      <c r="I114" t="str">
        <f>_xlfn.XLOOKUP(D114,products!$A$2:$A$49,products!$B$2:$B$49,0)</f>
        <v>Ara</v>
      </c>
      <c r="J114" t="str">
        <f>_xlfn.XLOOKUP(D114,products!$A$2:$A$49,products!$C$2:$C$49,0)</f>
        <v>M</v>
      </c>
      <c r="K114" s="4">
        <f>_xlfn.XLOOKUP(D114,products!$A$2:$A$49,products!$D$2:$D$49,0)</f>
        <v>1</v>
      </c>
      <c r="L114" s="5">
        <f>_xlfn.XLOOKUP(D114,products!$A$2:$A$49,products!$E$2:$E$49,0)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_xlfn.XLOOKUP(orders!C115,customers!$A$1:$A$1001,customers!$G$1:$G$1001,0)</f>
        <v>Ireland</v>
      </c>
      <c r="I115" t="str">
        <f>_xlfn.XLOOKUP(D115,products!$A$2:$A$49,products!$B$2:$B$49,0)</f>
        <v>Lib</v>
      </c>
      <c r="J115" t="str">
        <f>_xlfn.XLOOKUP(D115,products!$A$2:$A$49,products!$C$2:$C$49,0)</f>
        <v>M</v>
      </c>
      <c r="K115" s="4">
        <f>_xlfn.XLOOKUP(D115,products!$A$2:$A$49,products!$D$2:$D$49,0)</f>
        <v>1</v>
      </c>
      <c r="L115" s="5">
        <f>_xlfn.XLOOKUP(D115,products!$A$2:$A$49,products!$E$2:$E$49,0)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_xlfn.XLOOKUP(orders!C116,customers!$A$1:$A$1001,customers!$G$1:$G$1001,0)</f>
        <v>United States</v>
      </c>
      <c r="I116" t="str">
        <f>_xlfn.XLOOKUP(D116,products!$A$2:$A$49,products!$B$2:$B$49,0)</f>
        <v>Rob</v>
      </c>
      <c r="J116" t="str">
        <f>_xlfn.XLOOKUP(D116,products!$A$2:$A$49,products!$C$2:$C$49,0)</f>
        <v>L</v>
      </c>
      <c r="K116" s="4">
        <f>_xlfn.XLOOKUP(D116,products!$A$2:$A$49,products!$D$2:$D$49,0)</f>
        <v>0.2</v>
      </c>
      <c r="L116" s="5">
        <f>_xlfn.XLOOKUP(D116,products!$A$2:$A$49,products!$E$2:$E$49,0)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_xlfn.XLOOKUP(orders!C117,customers!$A$1:$A$1001,customers!$G$1:$G$1001,0)</f>
        <v>United Kingdom</v>
      </c>
      <c r="I117" t="str">
        <f>_xlfn.XLOOKUP(D117,products!$A$2:$A$49,products!$B$2:$B$49,0)</f>
        <v>Lib</v>
      </c>
      <c r="J117" t="str">
        <f>_xlfn.XLOOKUP(D117,products!$A$2:$A$49,products!$C$2:$C$49,0)</f>
        <v>L</v>
      </c>
      <c r="K117" s="4">
        <f>_xlfn.XLOOKUP(D117,products!$A$2:$A$49,products!$D$2:$D$49,0)</f>
        <v>1</v>
      </c>
      <c r="L117" s="5">
        <f>_xlfn.XLOOKUP(D117,products!$A$2:$A$49,products!$E$2:$E$49,0)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_xlfn.XLOOKUP(orders!C118,customers!$A$1:$A$1001,customers!$G$1:$G$1001,0)</f>
        <v>Ireland</v>
      </c>
      <c r="I118" t="str">
        <f>_xlfn.XLOOKUP(D118,products!$A$2:$A$49,products!$B$2:$B$49,0)</f>
        <v>Lib</v>
      </c>
      <c r="J118" t="str">
        <f>_xlfn.XLOOKUP(D118,products!$A$2:$A$49,products!$C$2:$C$49,0)</f>
        <v>L</v>
      </c>
      <c r="K118" s="4">
        <f>_xlfn.XLOOKUP(D118,products!$A$2:$A$49,products!$D$2:$D$49,0)</f>
        <v>0.2</v>
      </c>
      <c r="L118" s="5">
        <f>_xlfn.XLOOKUP(D118,products!$A$2:$A$49,products!$E$2:$E$49,0)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_xlfn.XLOOKUP(orders!C119,customers!$A$1:$A$1001,customers!$G$1:$G$1001,0)</f>
        <v>United States</v>
      </c>
      <c r="I119" t="str">
        <f>_xlfn.XLOOKUP(D119,products!$A$2:$A$49,products!$B$2:$B$49,0)</f>
        <v>Lib</v>
      </c>
      <c r="J119" t="str">
        <f>_xlfn.XLOOKUP(D119,products!$A$2:$A$49,products!$C$2:$C$49,0)</f>
        <v>L</v>
      </c>
      <c r="K119" s="4">
        <f>_xlfn.XLOOKUP(D119,products!$A$2:$A$49,products!$D$2:$D$49,0)</f>
        <v>0.5</v>
      </c>
      <c r="L119" s="5">
        <f>_xlfn.XLOOKUP(D119,products!$A$2:$A$49,products!$E$2:$E$49,0)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_xlfn.XLOOKUP(orders!C120,customers!$A$1:$A$1001,customers!$G$1:$G$1001,0)</f>
        <v>United States</v>
      </c>
      <c r="I120" t="str">
        <f>_xlfn.XLOOKUP(D120,products!$A$2:$A$49,products!$B$2:$B$49,0)</f>
        <v>Exc</v>
      </c>
      <c r="J120" t="str">
        <f>_xlfn.XLOOKUP(D120,products!$A$2:$A$49,products!$C$2:$C$49,0)</f>
        <v>D</v>
      </c>
      <c r="K120" s="4">
        <f>_xlfn.XLOOKUP(D120,products!$A$2:$A$49,products!$D$2:$D$49,0)</f>
        <v>0.5</v>
      </c>
      <c r="L120" s="5">
        <f>_xlfn.XLOOKUP(D120,products!$A$2:$A$49,products!$E$2:$E$49,0)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_xlfn.XLOOKUP(orders!C121,customers!$A$1:$A$1001,customers!$G$1:$G$1001,0)</f>
        <v>United States</v>
      </c>
      <c r="I121" t="str">
        <f>_xlfn.XLOOKUP(D121,products!$A$2:$A$49,products!$B$2:$B$49,0)</f>
        <v>Exc</v>
      </c>
      <c r="J121" t="str">
        <f>_xlfn.XLOOKUP(D121,products!$A$2:$A$49,products!$C$2:$C$49,0)</f>
        <v>M</v>
      </c>
      <c r="K121" s="4">
        <f>_xlfn.XLOOKUP(D121,products!$A$2:$A$49,products!$D$2:$D$49,0)</f>
        <v>0.2</v>
      </c>
      <c r="L121" s="5">
        <f>_xlfn.XLOOKUP(D121,products!$A$2:$A$49,products!$E$2:$E$49,0)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_xlfn.XLOOKUP(orders!C122,customers!$A$1:$A$1001,customers!$G$1:$G$1001,0)</f>
        <v>United States</v>
      </c>
      <c r="I122" t="str">
        <f>_xlfn.XLOOKUP(D122,products!$A$2:$A$49,products!$B$2:$B$49,0)</f>
        <v>Ara</v>
      </c>
      <c r="J122" t="str">
        <f>_xlfn.XLOOKUP(D122,products!$A$2:$A$49,products!$C$2:$C$49,0)</f>
        <v>L</v>
      </c>
      <c r="K122" s="4">
        <f>_xlfn.XLOOKUP(D122,products!$A$2:$A$49,products!$D$2:$D$49,0)</f>
        <v>0.2</v>
      </c>
      <c r="L122" s="5">
        <f>_xlfn.XLOOKUP(D122,products!$A$2:$A$49,products!$E$2:$E$49,0)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_xlfn.XLOOKUP(orders!C123,customers!$A$1:$A$1001,customers!$G$1:$G$1001,0)</f>
        <v>United States</v>
      </c>
      <c r="I123" t="str">
        <f>_xlfn.XLOOKUP(D123,products!$A$2:$A$49,products!$B$2:$B$49,0)</f>
        <v>Exc</v>
      </c>
      <c r="J123" t="str">
        <f>_xlfn.XLOOKUP(D123,products!$A$2:$A$49,products!$C$2:$C$49,0)</f>
        <v>M</v>
      </c>
      <c r="K123" s="4">
        <f>_xlfn.XLOOKUP(D123,products!$A$2:$A$49,products!$D$2:$D$49,0)</f>
        <v>1</v>
      </c>
      <c r="L123" s="5">
        <f>_xlfn.XLOOKUP(D123,products!$A$2:$A$49,products!$E$2:$E$49,0)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_xlfn.XLOOKUP(orders!C124,customers!$A$1:$A$1001,customers!$G$1:$G$1001,0)</f>
        <v>United States</v>
      </c>
      <c r="I124" t="str">
        <f>_xlfn.XLOOKUP(D124,products!$A$2:$A$49,products!$B$2:$B$49,0)</f>
        <v>Ara</v>
      </c>
      <c r="J124" t="str">
        <f>_xlfn.XLOOKUP(D124,products!$A$2:$A$49,products!$C$2:$C$49,0)</f>
        <v>D</v>
      </c>
      <c r="K124" s="4">
        <f>_xlfn.XLOOKUP(D124,products!$A$2:$A$49,products!$D$2:$D$49,0)</f>
        <v>0.5</v>
      </c>
      <c r="L124" s="5">
        <f>_xlfn.XLOOKUP(D124,products!$A$2:$A$49,products!$E$2:$E$49,0)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_xlfn.XLOOKUP(orders!C125,customers!$A$1:$A$1001,customers!$G$1:$G$1001,0)</f>
        <v>United States</v>
      </c>
      <c r="I125" t="str">
        <f>_xlfn.XLOOKUP(D125,products!$A$2:$A$49,products!$B$2:$B$49,0)</f>
        <v>Lib</v>
      </c>
      <c r="J125" t="str">
        <f>_xlfn.XLOOKUP(D125,products!$A$2:$A$49,products!$C$2:$C$49,0)</f>
        <v>L</v>
      </c>
      <c r="K125" s="4">
        <f>_xlfn.XLOOKUP(D125,products!$A$2:$A$49,products!$D$2:$D$49,0)</f>
        <v>2.5</v>
      </c>
      <c r="L125" s="5">
        <f>_xlfn.XLOOKUP(D125,products!$A$2:$A$49,products!$E$2:$E$49,0)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_xlfn.XLOOKUP(orders!C126,customers!$A$1:$A$1001,customers!$G$1:$G$1001,0)</f>
        <v>United States</v>
      </c>
      <c r="I126" t="str">
        <f>_xlfn.XLOOKUP(D126,products!$A$2:$A$49,products!$B$2:$B$49,0)</f>
        <v>Lib</v>
      </c>
      <c r="J126" t="str">
        <f>_xlfn.XLOOKUP(D126,products!$A$2:$A$49,products!$C$2:$C$49,0)</f>
        <v>M</v>
      </c>
      <c r="K126" s="4">
        <f>_xlfn.XLOOKUP(D126,products!$A$2:$A$49,products!$D$2:$D$49,0)</f>
        <v>0.2</v>
      </c>
      <c r="L126" s="5">
        <f>_xlfn.XLOOKUP(D126,products!$A$2:$A$49,products!$E$2:$E$49,0)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_xlfn.XLOOKUP(orders!C127,customers!$A$1:$A$1001,customers!$G$1:$G$1001,0)</f>
        <v>Ireland</v>
      </c>
      <c r="I127" t="str">
        <f>_xlfn.XLOOKUP(D127,products!$A$2:$A$49,products!$B$2:$B$49,0)</f>
        <v>Lib</v>
      </c>
      <c r="J127" t="str">
        <f>_xlfn.XLOOKUP(D127,products!$A$2:$A$49,products!$C$2:$C$49,0)</f>
        <v>M</v>
      </c>
      <c r="K127" s="4">
        <f>_xlfn.XLOOKUP(D127,products!$A$2:$A$49,products!$D$2:$D$49,0)</f>
        <v>0.5</v>
      </c>
      <c r="L127" s="5">
        <f>_xlfn.XLOOKUP(D127,products!$A$2:$A$49,products!$E$2:$E$49,0)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_xlfn.XLOOKUP(orders!C128,customers!$A$1:$A$1001,customers!$G$1:$G$1001,0)</f>
        <v>United States</v>
      </c>
      <c r="I128" t="str">
        <f>_xlfn.XLOOKUP(D128,products!$A$2:$A$49,products!$B$2:$B$49,0)</f>
        <v>Ara</v>
      </c>
      <c r="J128" t="str">
        <f>_xlfn.XLOOKUP(D128,products!$A$2:$A$49,products!$C$2:$C$49,0)</f>
        <v>M</v>
      </c>
      <c r="K128" s="4">
        <f>_xlfn.XLOOKUP(D128,products!$A$2:$A$49,products!$D$2:$D$49,0)</f>
        <v>1</v>
      </c>
      <c r="L128" s="5">
        <f>_xlfn.XLOOKUP(D128,products!$A$2:$A$49,products!$E$2:$E$49,0)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_xlfn.XLOOKUP(orders!C129,customers!$A$1:$A$1001,customers!$G$1:$G$1001,0)</f>
        <v>Ireland</v>
      </c>
      <c r="I129" t="str">
        <f>_xlfn.XLOOKUP(D129,products!$A$2:$A$49,products!$B$2:$B$49,0)</f>
        <v>Lib</v>
      </c>
      <c r="J129" t="str">
        <f>_xlfn.XLOOKUP(D129,products!$A$2:$A$49,products!$C$2:$C$49,0)</f>
        <v>D</v>
      </c>
      <c r="K129" s="4">
        <f>_xlfn.XLOOKUP(D129,products!$A$2:$A$49,products!$D$2:$D$49,0)</f>
        <v>1</v>
      </c>
      <c r="L129" s="5">
        <f>_xlfn.XLOOKUP(D129,products!$A$2:$A$49,products!$E$2:$E$49,0)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_xlfn.XLOOKUP(orders!C130,customers!$A$1:$A$1001,customers!$G$1:$G$1001,0)</f>
        <v>United States</v>
      </c>
      <c r="I130" t="str">
        <f>_xlfn.XLOOKUP(D130,products!$A$2:$A$49,products!$B$2:$B$49,0)</f>
        <v>Ara</v>
      </c>
      <c r="J130" t="str">
        <f>_xlfn.XLOOKUP(D130,products!$A$2:$A$49,products!$C$2:$C$49,0)</f>
        <v>M</v>
      </c>
      <c r="K130" s="4">
        <f>_xlfn.XLOOKUP(D130,products!$A$2:$A$49,products!$D$2:$D$49,0)</f>
        <v>0.5</v>
      </c>
      <c r="L130" s="5">
        <f>_xlfn.XLOOKUP(D130,products!$A$2:$A$49,products!$E$2:$E$49,0)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_xlfn.XLOOKUP(orders!C131,customers!$A$1:$A$1001,customers!$G$1:$G$1001,0)</f>
        <v>United States</v>
      </c>
      <c r="I131" t="str">
        <f>_xlfn.XLOOKUP(D131,products!$A$2:$A$49,products!$B$2:$B$49,0)</f>
        <v>Exc</v>
      </c>
      <c r="J131" t="str">
        <f>_xlfn.XLOOKUP(D131,products!$A$2:$A$49,products!$C$2:$C$49,0)</f>
        <v>D</v>
      </c>
      <c r="K131" s="4">
        <f>_xlfn.XLOOKUP(D131,products!$A$2:$A$49,products!$D$2:$D$49,0)</f>
        <v>1</v>
      </c>
      <c r="L131" s="5">
        <f>_xlfn.XLOOKUP(D131,products!$A$2:$A$49,products!$E$2:$E$49,0)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_xlfn.XLOOKUP(orders!C132,customers!$A$1:$A$1001,customers!$G$1:$G$1001,0)</f>
        <v>Ireland</v>
      </c>
      <c r="I132" t="str">
        <f>_xlfn.XLOOKUP(D132,products!$A$2:$A$49,products!$B$2:$B$49,0)</f>
        <v>Ara</v>
      </c>
      <c r="J132" t="str">
        <f>_xlfn.XLOOKUP(D132,products!$A$2:$A$49,products!$C$2:$C$49,0)</f>
        <v>L</v>
      </c>
      <c r="K132" s="4">
        <f>_xlfn.XLOOKUP(D132,products!$A$2:$A$49,products!$D$2:$D$49,0)</f>
        <v>2.5</v>
      </c>
      <c r="L132" s="5">
        <f>_xlfn.XLOOKUP(D132,products!$A$2:$A$49,products!$E$2:$E$49,0)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_xlfn.XLOOKUP(orders!C133,customers!$A$1:$A$1001,customers!$G$1:$G$1001,0)</f>
        <v>United States</v>
      </c>
      <c r="I133" t="str">
        <f>_xlfn.XLOOKUP(D133,products!$A$2:$A$49,products!$B$2:$B$49,0)</f>
        <v>Exc</v>
      </c>
      <c r="J133" t="str">
        <f>_xlfn.XLOOKUP(D133,products!$A$2:$A$49,products!$C$2:$C$49,0)</f>
        <v>D</v>
      </c>
      <c r="K133" s="4">
        <f>_xlfn.XLOOKUP(D133,products!$A$2:$A$49,products!$D$2:$D$49,0)</f>
        <v>0.5</v>
      </c>
      <c r="L133" s="5">
        <f>_xlfn.XLOOKUP(D133,products!$A$2:$A$49,products!$E$2:$E$49,0)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_xlfn.XLOOKUP(orders!C134,customers!$A$1:$A$1001,customers!$G$1:$G$1001,0)</f>
        <v>United States</v>
      </c>
      <c r="I134" t="str">
        <f>_xlfn.XLOOKUP(D134,products!$A$2:$A$49,products!$B$2:$B$49,0)</f>
        <v>Ara</v>
      </c>
      <c r="J134" t="str">
        <f>_xlfn.XLOOKUP(D134,products!$A$2:$A$49,products!$C$2:$C$49,0)</f>
        <v>L</v>
      </c>
      <c r="K134" s="4">
        <f>_xlfn.XLOOKUP(D134,products!$A$2:$A$49,products!$D$2:$D$49,0)</f>
        <v>2.5</v>
      </c>
      <c r="L134" s="5">
        <f>_xlfn.XLOOKUP(D134,products!$A$2:$A$49,products!$E$2:$E$49,0)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_xlfn.XLOOKUP(orders!C135,customers!$A$1:$A$1001,customers!$G$1:$G$1001,0)</f>
        <v>United States</v>
      </c>
      <c r="I135" t="str">
        <f>_xlfn.XLOOKUP(D135,products!$A$2:$A$49,products!$B$2:$B$49,0)</f>
        <v>Lib</v>
      </c>
      <c r="J135" t="str">
        <f>_xlfn.XLOOKUP(D135,products!$A$2:$A$49,products!$C$2:$C$49,0)</f>
        <v>D</v>
      </c>
      <c r="K135" s="4">
        <f>_xlfn.XLOOKUP(D135,products!$A$2:$A$49,products!$D$2:$D$49,0)</f>
        <v>1</v>
      </c>
      <c r="L135" s="5">
        <f>_xlfn.XLOOKUP(D135,products!$A$2:$A$49,products!$E$2:$E$49,0)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_xlfn.XLOOKUP(orders!C136,customers!$A$1:$A$1001,customers!$G$1:$G$1001,0)</f>
        <v>United States</v>
      </c>
      <c r="I136" t="str">
        <f>_xlfn.XLOOKUP(D136,products!$A$2:$A$49,products!$B$2:$B$49,0)</f>
        <v>Exc</v>
      </c>
      <c r="J136" t="str">
        <f>_xlfn.XLOOKUP(D136,products!$A$2:$A$49,products!$C$2:$C$49,0)</f>
        <v>M</v>
      </c>
      <c r="K136" s="4">
        <f>_xlfn.XLOOKUP(D136,products!$A$2:$A$49,products!$D$2:$D$49,0)</f>
        <v>2.5</v>
      </c>
      <c r="L136" s="5">
        <f>_xlfn.XLOOKUP(D136,products!$A$2:$A$49,products!$E$2:$E$49,0)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_xlfn.XLOOKUP(orders!C137,customers!$A$1:$A$1001,customers!$G$1:$G$1001,0)</f>
        <v>United States</v>
      </c>
      <c r="I137" t="str">
        <f>_xlfn.XLOOKUP(D137,products!$A$2:$A$49,products!$B$2:$B$49,0)</f>
        <v>Ara</v>
      </c>
      <c r="J137" t="str">
        <f>_xlfn.XLOOKUP(D137,products!$A$2:$A$49,products!$C$2:$C$49,0)</f>
        <v>L</v>
      </c>
      <c r="K137" s="4">
        <f>_xlfn.XLOOKUP(D137,products!$A$2:$A$49,products!$D$2:$D$49,0)</f>
        <v>0.5</v>
      </c>
      <c r="L137" s="5">
        <f>_xlfn.XLOOKUP(D137,products!$A$2:$A$49,products!$E$2:$E$49,0)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_xlfn.XLOOKUP(orders!C138,customers!$A$1:$A$1001,customers!$G$1:$G$1001,0)</f>
        <v>United States</v>
      </c>
      <c r="I138" t="str">
        <f>_xlfn.XLOOKUP(D138,products!$A$2:$A$49,products!$B$2:$B$49,0)</f>
        <v>Ara</v>
      </c>
      <c r="J138" t="str">
        <f>_xlfn.XLOOKUP(D138,products!$A$2:$A$49,products!$C$2:$C$49,0)</f>
        <v>D</v>
      </c>
      <c r="K138" s="4">
        <f>_xlfn.XLOOKUP(D138,products!$A$2:$A$49,products!$D$2:$D$49,0)</f>
        <v>0.2</v>
      </c>
      <c r="L138" s="5">
        <f>_xlfn.XLOOKUP(D138,products!$A$2:$A$49,products!$E$2:$E$49,0)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_xlfn.XLOOKUP(orders!C139,customers!$A$1:$A$1001,customers!$G$1:$G$1001,0)</f>
        <v>Ireland</v>
      </c>
      <c r="I139" t="str">
        <f>_xlfn.XLOOKUP(D139,products!$A$2:$A$49,products!$B$2:$B$49,0)</f>
        <v>Exc</v>
      </c>
      <c r="J139" t="str">
        <f>_xlfn.XLOOKUP(D139,products!$A$2:$A$49,products!$C$2:$C$49,0)</f>
        <v>L</v>
      </c>
      <c r="K139" s="4">
        <f>_xlfn.XLOOKUP(D139,products!$A$2:$A$49,products!$D$2:$D$49,0)</f>
        <v>2.5</v>
      </c>
      <c r="L139" s="5">
        <f>_xlfn.XLOOKUP(D139,products!$A$2:$A$49,products!$E$2:$E$49,0)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_xlfn.XLOOKUP(orders!C140,customers!$A$1:$A$1001,customers!$G$1:$G$1001,0)</f>
        <v>United States</v>
      </c>
      <c r="I140" t="str">
        <f>_xlfn.XLOOKUP(D140,products!$A$2:$A$49,products!$B$2:$B$49,0)</f>
        <v>Exc</v>
      </c>
      <c r="J140" t="str">
        <f>_xlfn.XLOOKUP(D140,products!$A$2:$A$49,products!$C$2:$C$49,0)</f>
        <v>D</v>
      </c>
      <c r="K140" s="4">
        <f>_xlfn.XLOOKUP(D140,products!$A$2:$A$49,products!$D$2:$D$49,0)</f>
        <v>1</v>
      </c>
      <c r="L140" s="5">
        <f>_xlfn.XLOOKUP(D140,products!$A$2:$A$49,products!$E$2:$E$49,0)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_xlfn.XLOOKUP(orders!C141,customers!$A$1:$A$1001,customers!$G$1:$G$1001,0)</f>
        <v>United States</v>
      </c>
      <c r="I141" t="str">
        <f>_xlfn.XLOOKUP(D141,products!$A$2:$A$49,products!$B$2:$B$49,0)</f>
        <v>Lib</v>
      </c>
      <c r="J141" t="str">
        <f>_xlfn.XLOOKUP(D141,products!$A$2:$A$49,products!$C$2:$C$49,0)</f>
        <v>D</v>
      </c>
      <c r="K141" s="4">
        <f>_xlfn.XLOOKUP(D141,products!$A$2:$A$49,products!$D$2:$D$49,0)</f>
        <v>1</v>
      </c>
      <c r="L141" s="5">
        <f>_xlfn.XLOOKUP(D141,products!$A$2:$A$49,products!$E$2:$E$49,0)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_xlfn.XLOOKUP(orders!C142,customers!$A$1:$A$1001,customers!$G$1:$G$1001,0)</f>
        <v>Ireland</v>
      </c>
      <c r="I142" t="str">
        <f>_xlfn.XLOOKUP(D142,products!$A$2:$A$49,products!$B$2:$B$49,0)</f>
        <v>Lib</v>
      </c>
      <c r="J142" t="str">
        <f>_xlfn.XLOOKUP(D142,products!$A$2:$A$49,products!$C$2:$C$49,0)</f>
        <v>D</v>
      </c>
      <c r="K142" s="4">
        <f>_xlfn.XLOOKUP(D142,products!$A$2:$A$49,products!$D$2:$D$49,0)</f>
        <v>2.5</v>
      </c>
      <c r="L142" s="5">
        <f>_xlfn.XLOOKUP(D142,products!$A$2:$A$49,products!$E$2:$E$49,0)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_xlfn.XLOOKUP(orders!C143,customers!$A$1:$A$1001,customers!$G$1:$G$1001,0)</f>
        <v>United States</v>
      </c>
      <c r="I143" t="str">
        <f>_xlfn.XLOOKUP(D143,products!$A$2:$A$49,products!$B$2:$B$49,0)</f>
        <v>Ara</v>
      </c>
      <c r="J143" t="str">
        <f>_xlfn.XLOOKUP(D143,products!$A$2:$A$49,products!$C$2:$C$49,0)</f>
        <v>L</v>
      </c>
      <c r="K143" s="4">
        <f>_xlfn.XLOOKUP(D143,products!$A$2:$A$49,products!$D$2:$D$49,0)</f>
        <v>0.2</v>
      </c>
      <c r="L143" s="5">
        <f>_xlfn.XLOOKUP(D143,products!$A$2:$A$49,products!$E$2:$E$49,0)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_xlfn.XLOOKUP(orders!C144,customers!$A$1:$A$1001,customers!$G$1:$G$1001,0)</f>
        <v>Ireland</v>
      </c>
      <c r="I144" t="str">
        <f>_xlfn.XLOOKUP(D144,products!$A$2:$A$49,products!$B$2:$B$49,0)</f>
        <v>Exc</v>
      </c>
      <c r="J144" t="str">
        <f>_xlfn.XLOOKUP(D144,products!$A$2:$A$49,products!$C$2:$C$49,0)</f>
        <v>L</v>
      </c>
      <c r="K144" s="4">
        <f>_xlfn.XLOOKUP(D144,products!$A$2:$A$49,products!$D$2:$D$49,0)</f>
        <v>2.5</v>
      </c>
      <c r="L144" s="5">
        <f>_xlfn.XLOOKUP(D144,products!$A$2:$A$49,products!$E$2:$E$49,0)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_xlfn.XLOOKUP(orders!C145,customers!$A$1:$A$1001,customers!$G$1:$G$1001,0)</f>
        <v>United States</v>
      </c>
      <c r="I145" t="str">
        <f>_xlfn.XLOOKUP(D145,products!$A$2:$A$49,products!$B$2:$B$49,0)</f>
        <v>Lib</v>
      </c>
      <c r="J145" t="str">
        <f>_xlfn.XLOOKUP(D145,products!$A$2:$A$49,products!$C$2:$C$49,0)</f>
        <v>M</v>
      </c>
      <c r="K145" s="4">
        <f>_xlfn.XLOOKUP(D145,products!$A$2:$A$49,products!$D$2:$D$49,0)</f>
        <v>0.5</v>
      </c>
      <c r="L145" s="5">
        <f>_xlfn.XLOOKUP(D145,products!$A$2:$A$49,products!$E$2:$E$49,0)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_xlfn.XLOOKUP(orders!C146,customers!$A$1:$A$1001,customers!$G$1:$G$1001,0)</f>
        <v>United States</v>
      </c>
      <c r="I146" t="str">
        <f>_xlfn.XLOOKUP(D146,products!$A$2:$A$49,products!$B$2:$B$49,0)</f>
        <v>Exc</v>
      </c>
      <c r="J146" t="str">
        <f>_xlfn.XLOOKUP(D146,products!$A$2:$A$49,products!$C$2:$C$49,0)</f>
        <v>L</v>
      </c>
      <c r="K146" s="4">
        <f>_xlfn.XLOOKUP(D146,products!$A$2:$A$49,products!$D$2:$D$49,0)</f>
        <v>2.5</v>
      </c>
      <c r="L146" s="5">
        <f>_xlfn.XLOOKUP(D146,products!$A$2:$A$49,products!$E$2:$E$49,0)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_xlfn.XLOOKUP(orders!C147,customers!$A$1:$A$1001,customers!$G$1:$G$1001,0)</f>
        <v>United States</v>
      </c>
      <c r="I147" t="str">
        <f>_xlfn.XLOOKUP(D147,products!$A$2:$A$49,products!$B$2:$B$49,0)</f>
        <v>Lib</v>
      </c>
      <c r="J147" t="str">
        <f>_xlfn.XLOOKUP(D147,products!$A$2:$A$49,products!$C$2:$C$49,0)</f>
        <v>M</v>
      </c>
      <c r="K147" s="4">
        <f>_xlfn.XLOOKUP(D147,products!$A$2:$A$49,products!$D$2:$D$49,0)</f>
        <v>0.2</v>
      </c>
      <c r="L147" s="5">
        <f>_xlfn.XLOOKUP(D147,products!$A$2:$A$49,products!$E$2:$E$49,0)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_xlfn.XLOOKUP(orders!C148,customers!$A$1:$A$1001,customers!$G$1:$G$1001,0)</f>
        <v>United States</v>
      </c>
      <c r="I148" t="str">
        <f>_xlfn.XLOOKUP(D148,products!$A$2:$A$49,products!$B$2:$B$49,0)</f>
        <v>Lib</v>
      </c>
      <c r="J148" t="str">
        <f>_xlfn.XLOOKUP(D148,products!$A$2:$A$49,products!$C$2:$C$49,0)</f>
        <v>M</v>
      </c>
      <c r="K148" s="4">
        <f>_xlfn.XLOOKUP(D148,products!$A$2:$A$49,products!$D$2:$D$49,0)</f>
        <v>1</v>
      </c>
      <c r="L148" s="5">
        <f>_xlfn.XLOOKUP(D148,products!$A$2:$A$49,products!$E$2:$E$49,0)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_xlfn.XLOOKUP(orders!C149,customers!$A$1:$A$1001,customers!$G$1:$G$1001,0)</f>
        <v>United States</v>
      </c>
      <c r="I149" t="str">
        <f>_xlfn.XLOOKUP(D149,products!$A$2:$A$49,products!$B$2:$B$49,0)</f>
        <v>Exc</v>
      </c>
      <c r="J149" t="str">
        <f>_xlfn.XLOOKUP(D149,products!$A$2:$A$49,products!$C$2:$C$49,0)</f>
        <v>M</v>
      </c>
      <c r="K149" s="4">
        <f>_xlfn.XLOOKUP(D149,products!$A$2:$A$49,products!$D$2:$D$49,0)</f>
        <v>1</v>
      </c>
      <c r="L149" s="5">
        <f>_xlfn.XLOOKUP(D149,products!$A$2:$A$49,products!$E$2:$E$49,0)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_xlfn.XLOOKUP(orders!C150,customers!$A$1:$A$1001,customers!$G$1:$G$1001,0)</f>
        <v>United States</v>
      </c>
      <c r="I150" t="str">
        <f>_xlfn.XLOOKUP(D150,products!$A$2:$A$49,products!$B$2:$B$49,0)</f>
        <v>Exc</v>
      </c>
      <c r="J150" t="str">
        <f>_xlfn.XLOOKUP(D150,products!$A$2:$A$49,products!$C$2:$C$49,0)</f>
        <v>D</v>
      </c>
      <c r="K150" s="4">
        <f>_xlfn.XLOOKUP(D150,products!$A$2:$A$49,products!$D$2:$D$49,0)</f>
        <v>0.2</v>
      </c>
      <c r="L150" s="5">
        <f>_xlfn.XLOOKUP(D150,products!$A$2:$A$49,products!$E$2:$E$49,0)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_xlfn.XLOOKUP(orders!C151,customers!$A$1:$A$1001,customers!$G$1:$G$1001,0)</f>
        <v>United States</v>
      </c>
      <c r="I151" t="str">
        <f>_xlfn.XLOOKUP(D151,products!$A$2:$A$49,products!$B$2:$B$49,0)</f>
        <v>Ara</v>
      </c>
      <c r="J151" t="str">
        <f>_xlfn.XLOOKUP(D151,products!$A$2:$A$49,products!$C$2:$C$49,0)</f>
        <v>M</v>
      </c>
      <c r="K151" s="4">
        <f>_xlfn.XLOOKUP(D151,products!$A$2:$A$49,products!$D$2:$D$49,0)</f>
        <v>2.5</v>
      </c>
      <c r="L151" s="5">
        <f>_xlfn.XLOOKUP(D151,products!$A$2:$A$49,products!$E$2:$E$49,0)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_xlfn.XLOOKUP(orders!C152,customers!$A$1:$A$1001,customers!$G$1:$G$1001,0)</f>
        <v>United States</v>
      </c>
      <c r="I152" t="str">
        <f>_xlfn.XLOOKUP(D152,products!$A$2:$A$49,products!$B$2:$B$49,0)</f>
        <v>Lib</v>
      </c>
      <c r="J152" t="str">
        <f>_xlfn.XLOOKUP(D152,products!$A$2:$A$49,products!$C$2:$C$49,0)</f>
        <v>D</v>
      </c>
      <c r="K152" s="4">
        <f>_xlfn.XLOOKUP(D152,products!$A$2:$A$49,products!$D$2:$D$49,0)</f>
        <v>1</v>
      </c>
      <c r="L152" s="5">
        <f>_xlfn.XLOOKUP(D152,products!$A$2:$A$49,products!$E$2:$E$49,0)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_xlfn.XLOOKUP(orders!C153,customers!$A$1:$A$1001,customers!$G$1:$G$1001,0)</f>
        <v>United States</v>
      </c>
      <c r="I153" t="str">
        <f>_xlfn.XLOOKUP(D153,products!$A$2:$A$49,products!$B$2:$B$49,0)</f>
        <v>Ara</v>
      </c>
      <c r="J153" t="str">
        <f>_xlfn.XLOOKUP(D153,products!$A$2:$A$49,products!$C$2:$C$49,0)</f>
        <v>M</v>
      </c>
      <c r="K153" s="4">
        <f>_xlfn.XLOOKUP(D153,products!$A$2:$A$49,products!$D$2:$D$49,0)</f>
        <v>1</v>
      </c>
      <c r="L153" s="5">
        <f>_xlfn.XLOOKUP(D153,products!$A$2:$A$49,products!$E$2:$E$49,0)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_xlfn.XLOOKUP(orders!C154,customers!$A$1:$A$1001,customers!$G$1:$G$1001,0)</f>
        <v>United States</v>
      </c>
      <c r="I154" t="str">
        <f>_xlfn.XLOOKUP(D154,products!$A$2:$A$49,products!$B$2:$B$49,0)</f>
        <v>Rob</v>
      </c>
      <c r="J154" t="str">
        <f>_xlfn.XLOOKUP(D154,products!$A$2:$A$49,products!$C$2:$C$49,0)</f>
        <v>M</v>
      </c>
      <c r="K154" s="4">
        <f>_xlfn.XLOOKUP(D154,products!$A$2:$A$49,products!$D$2:$D$49,0)</f>
        <v>2.5</v>
      </c>
      <c r="L154" s="5">
        <f>_xlfn.XLOOKUP(D154,products!$A$2:$A$49,products!$E$2:$E$49,0)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_xlfn.XLOOKUP(orders!C155,customers!$A$1:$A$1001,customers!$G$1:$G$1001,0)</f>
        <v>United States</v>
      </c>
      <c r="I155" t="str">
        <f>_xlfn.XLOOKUP(D155,products!$A$2:$A$49,products!$B$2:$B$49,0)</f>
        <v>Rob</v>
      </c>
      <c r="J155" t="str">
        <f>_xlfn.XLOOKUP(D155,products!$A$2:$A$49,products!$C$2:$C$49,0)</f>
        <v>D</v>
      </c>
      <c r="K155" s="4">
        <f>_xlfn.XLOOKUP(D155,products!$A$2:$A$49,products!$D$2:$D$49,0)</f>
        <v>0.2</v>
      </c>
      <c r="L155" s="5">
        <f>_xlfn.XLOOKUP(D155,products!$A$2:$A$49,products!$E$2:$E$49,0)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_xlfn.XLOOKUP(orders!C156,customers!$A$1:$A$1001,customers!$G$1:$G$1001,0)</f>
        <v>United States</v>
      </c>
      <c r="I156" t="str">
        <f>_xlfn.XLOOKUP(D156,products!$A$2:$A$49,products!$B$2:$B$49,0)</f>
        <v>Ara</v>
      </c>
      <c r="J156" t="str">
        <f>_xlfn.XLOOKUP(D156,products!$A$2:$A$49,products!$C$2:$C$49,0)</f>
        <v>D</v>
      </c>
      <c r="K156" s="4">
        <f>_xlfn.XLOOKUP(D156,products!$A$2:$A$49,products!$D$2:$D$49,0)</f>
        <v>2.5</v>
      </c>
      <c r="L156" s="5">
        <f>_xlfn.XLOOKUP(D156,products!$A$2:$A$49,products!$E$2:$E$49,0)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_xlfn.XLOOKUP(orders!C157,customers!$A$1:$A$1001,customers!$G$1:$G$1001,0)</f>
        <v>United States</v>
      </c>
      <c r="I157" t="str">
        <f>_xlfn.XLOOKUP(D157,products!$A$2:$A$49,products!$B$2:$B$49,0)</f>
        <v>Ara</v>
      </c>
      <c r="J157" t="str">
        <f>_xlfn.XLOOKUP(D157,products!$A$2:$A$49,products!$C$2:$C$49,0)</f>
        <v>M</v>
      </c>
      <c r="K157" s="4">
        <f>_xlfn.XLOOKUP(D157,products!$A$2:$A$49,products!$D$2:$D$49,0)</f>
        <v>2.5</v>
      </c>
      <c r="L157" s="5">
        <f>_xlfn.XLOOKUP(D157,products!$A$2:$A$49,products!$E$2:$E$49,0)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_xlfn.XLOOKUP(orders!C158,customers!$A$1:$A$1001,customers!$G$1:$G$1001,0)</f>
        <v>United States</v>
      </c>
      <c r="I158" t="str">
        <f>_xlfn.XLOOKUP(D158,products!$A$2:$A$49,products!$B$2:$B$49,0)</f>
        <v>Ara</v>
      </c>
      <c r="J158" t="str">
        <f>_xlfn.XLOOKUP(D158,products!$A$2:$A$49,products!$C$2:$C$49,0)</f>
        <v>M</v>
      </c>
      <c r="K158" s="4">
        <f>_xlfn.XLOOKUP(D158,products!$A$2:$A$49,products!$D$2:$D$49,0)</f>
        <v>2.5</v>
      </c>
      <c r="L158" s="5">
        <f>_xlfn.XLOOKUP(D158,products!$A$2:$A$49,products!$E$2:$E$49,0)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_xlfn.XLOOKUP(orders!C159,customers!$A$1:$A$1001,customers!$G$1:$G$1001,0)</f>
        <v>Ireland</v>
      </c>
      <c r="I159" t="str">
        <f>_xlfn.XLOOKUP(D159,products!$A$2:$A$49,products!$B$2:$B$49,0)</f>
        <v>Rob</v>
      </c>
      <c r="J159" t="str">
        <f>_xlfn.XLOOKUP(D159,products!$A$2:$A$49,products!$C$2:$C$49,0)</f>
        <v>D</v>
      </c>
      <c r="K159" s="4">
        <f>_xlfn.XLOOKUP(D159,products!$A$2:$A$49,products!$D$2:$D$49,0)</f>
        <v>2.5</v>
      </c>
      <c r="L159" s="5">
        <f>_xlfn.XLOOKUP(D159,products!$A$2:$A$49,products!$E$2:$E$49,0)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_xlfn.XLOOKUP(orders!C160,customers!$A$1:$A$1001,customers!$G$1:$G$1001,0)</f>
        <v>United States</v>
      </c>
      <c r="I160" t="str">
        <f>_xlfn.XLOOKUP(D160,products!$A$2:$A$49,products!$B$2:$B$49,0)</f>
        <v>Rob</v>
      </c>
      <c r="J160" t="str">
        <f>_xlfn.XLOOKUP(D160,products!$A$2:$A$49,products!$C$2:$C$49,0)</f>
        <v>D</v>
      </c>
      <c r="K160" s="4">
        <f>_xlfn.XLOOKUP(D160,products!$A$2:$A$49,products!$D$2:$D$49,0)</f>
        <v>2.5</v>
      </c>
      <c r="L160" s="5">
        <f>_xlfn.XLOOKUP(D160,products!$A$2:$A$49,products!$E$2:$E$49,0)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_xlfn.XLOOKUP(orders!C161,customers!$A$1:$A$1001,customers!$G$1:$G$1001,0)</f>
        <v>United States</v>
      </c>
      <c r="I161" t="str">
        <f>_xlfn.XLOOKUP(D161,products!$A$2:$A$49,products!$B$2:$B$49,0)</f>
        <v>Lib</v>
      </c>
      <c r="J161" t="str">
        <f>_xlfn.XLOOKUP(D161,products!$A$2:$A$49,products!$C$2:$C$49,0)</f>
        <v>L</v>
      </c>
      <c r="K161" s="4">
        <f>_xlfn.XLOOKUP(D161,products!$A$2:$A$49,products!$D$2:$D$49,0)</f>
        <v>2.5</v>
      </c>
      <c r="L161" s="5">
        <f>_xlfn.XLOOKUP(D161,products!$A$2:$A$49,products!$E$2:$E$49,0)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_xlfn.XLOOKUP(orders!C162,customers!$A$1:$A$1001,customers!$G$1:$G$1001,0)</f>
        <v>United States</v>
      </c>
      <c r="I162" t="str">
        <f>_xlfn.XLOOKUP(D162,products!$A$2:$A$49,products!$B$2:$B$49,0)</f>
        <v>Exc</v>
      </c>
      <c r="J162" t="str">
        <f>_xlfn.XLOOKUP(D162,products!$A$2:$A$49,products!$C$2:$C$49,0)</f>
        <v>M</v>
      </c>
      <c r="K162" s="4">
        <f>_xlfn.XLOOKUP(D162,products!$A$2:$A$49,products!$D$2:$D$49,0)</f>
        <v>0.5</v>
      </c>
      <c r="L162" s="5">
        <f>_xlfn.XLOOKUP(D162,products!$A$2:$A$49,products!$E$2:$E$49,0)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_xlfn.XLOOKUP(orders!C163,customers!$A$1:$A$1001,customers!$G$1:$G$1001,0)</f>
        <v>United States</v>
      </c>
      <c r="I163" t="str">
        <f>_xlfn.XLOOKUP(D163,products!$A$2:$A$49,products!$B$2:$B$49,0)</f>
        <v>Ara</v>
      </c>
      <c r="J163" t="str">
        <f>_xlfn.XLOOKUP(D163,products!$A$2:$A$49,products!$C$2:$C$49,0)</f>
        <v>L</v>
      </c>
      <c r="K163" s="4">
        <f>_xlfn.XLOOKUP(D163,products!$A$2:$A$49,products!$D$2:$D$49,0)</f>
        <v>0.5</v>
      </c>
      <c r="L163" s="5">
        <f>_xlfn.XLOOKUP(D163,products!$A$2:$A$49,products!$E$2:$E$49,0)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_xlfn.XLOOKUP(orders!C164,customers!$A$1:$A$1001,customers!$G$1:$G$1001,0)</f>
        <v>United States</v>
      </c>
      <c r="I164" t="str">
        <f>_xlfn.XLOOKUP(D164,products!$A$2:$A$49,products!$B$2:$B$49,0)</f>
        <v>Exc</v>
      </c>
      <c r="J164" t="str">
        <f>_xlfn.XLOOKUP(D164,products!$A$2:$A$49,products!$C$2:$C$49,0)</f>
        <v>D</v>
      </c>
      <c r="K164" s="4">
        <f>_xlfn.XLOOKUP(D164,products!$A$2:$A$49,products!$D$2:$D$49,0)</f>
        <v>0.5</v>
      </c>
      <c r="L164" s="5">
        <f>_xlfn.XLOOKUP(D164,products!$A$2:$A$49,products!$E$2:$E$49,0)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_xlfn.XLOOKUP(orders!C165,customers!$A$1:$A$1001,customers!$G$1:$G$1001,0)</f>
        <v>United States</v>
      </c>
      <c r="I165" t="str">
        <f>_xlfn.XLOOKUP(D165,products!$A$2:$A$49,products!$B$2:$B$49,0)</f>
        <v>Rob</v>
      </c>
      <c r="J165" t="str">
        <f>_xlfn.XLOOKUP(D165,products!$A$2:$A$49,products!$C$2:$C$49,0)</f>
        <v>D</v>
      </c>
      <c r="K165" s="4">
        <f>_xlfn.XLOOKUP(D165,products!$A$2:$A$49,products!$D$2:$D$49,0)</f>
        <v>0.2</v>
      </c>
      <c r="L165" s="5">
        <f>_xlfn.XLOOKUP(D165,products!$A$2:$A$49,products!$E$2:$E$49,0)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_xlfn.XLOOKUP(orders!C166,customers!$A$1:$A$1001,customers!$G$1:$G$1001,0)</f>
        <v>Ireland</v>
      </c>
      <c r="I166" t="str">
        <f>_xlfn.XLOOKUP(D166,products!$A$2:$A$49,products!$B$2:$B$49,0)</f>
        <v>Exc</v>
      </c>
      <c r="J166" t="str">
        <f>_xlfn.XLOOKUP(D166,products!$A$2:$A$49,products!$C$2:$C$49,0)</f>
        <v>D</v>
      </c>
      <c r="K166" s="4">
        <f>_xlfn.XLOOKUP(D166,products!$A$2:$A$49,products!$D$2:$D$49,0)</f>
        <v>0.5</v>
      </c>
      <c r="L166" s="5">
        <f>_xlfn.XLOOKUP(D166,products!$A$2:$A$49,products!$E$2:$E$49,0)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_xlfn.XLOOKUP(orders!C167,customers!$A$1:$A$1001,customers!$G$1:$G$1001,0)</f>
        <v>United States</v>
      </c>
      <c r="I167" t="str">
        <f>_xlfn.XLOOKUP(D167,products!$A$2:$A$49,products!$B$2:$B$49,0)</f>
        <v>Rob</v>
      </c>
      <c r="J167" t="str">
        <f>_xlfn.XLOOKUP(D167,products!$A$2:$A$49,products!$C$2:$C$49,0)</f>
        <v>D</v>
      </c>
      <c r="K167" s="4">
        <f>_xlfn.XLOOKUP(D167,products!$A$2:$A$49,products!$D$2:$D$49,0)</f>
        <v>1</v>
      </c>
      <c r="L167" s="5">
        <f>_xlfn.XLOOKUP(D167,products!$A$2:$A$49,products!$E$2:$E$49,0)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_xlfn.XLOOKUP(orders!C168,customers!$A$1:$A$1001,customers!$G$1:$G$1001,0)</f>
        <v>United States</v>
      </c>
      <c r="I168" t="str">
        <f>_xlfn.XLOOKUP(D168,products!$A$2:$A$49,products!$B$2:$B$49,0)</f>
        <v>Rob</v>
      </c>
      <c r="J168" t="str">
        <f>_xlfn.XLOOKUP(D168,products!$A$2:$A$49,products!$C$2:$C$49,0)</f>
        <v>D</v>
      </c>
      <c r="K168" s="4">
        <f>_xlfn.XLOOKUP(D168,products!$A$2:$A$49,products!$D$2:$D$49,0)</f>
        <v>0.5</v>
      </c>
      <c r="L168" s="5">
        <f>_xlfn.XLOOKUP(D168,products!$A$2:$A$49,products!$E$2:$E$49,0)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_xlfn.XLOOKUP(orders!C169,customers!$A$1:$A$1001,customers!$G$1:$G$1001,0)</f>
        <v>United States</v>
      </c>
      <c r="I169" t="str">
        <f>_xlfn.XLOOKUP(D169,products!$A$2:$A$49,products!$B$2:$B$49,0)</f>
        <v>Exc</v>
      </c>
      <c r="J169" t="str">
        <f>_xlfn.XLOOKUP(D169,products!$A$2:$A$49,products!$C$2:$C$49,0)</f>
        <v>M</v>
      </c>
      <c r="K169" s="4">
        <f>_xlfn.XLOOKUP(D169,products!$A$2:$A$49,products!$D$2:$D$49,0)</f>
        <v>0.5</v>
      </c>
      <c r="L169" s="5">
        <f>_xlfn.XLOOKUP(D169,products!$A$2:$A$49,products!$E$2:$E$49,0)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_xlfn.XLOOKUP(orders!C170,customers!$A$1:$A$1001,customers!$G$1:$G$1001,0)</f>
        <v>Ireland</v>
      </c>
      <c r="I170" t="str">
        <f>_xlfn.XLOOKUP(D170,products!$A$2:$A$49,products!$B$2:$B$49,0)</f>
        <v>Ara</v>
      </c>
      <c r="J170" t="str">
        <f>_xlfn.XLOOKUP(D170,products!$A$2:$A$49,products!$C$2:$C$49,0)</f>
        <v>M</v>
      </c>
      <c r="K170" s="4">
        <f>_xlfn.XLOOKUP(D170,products!$A$2:$A$49,products!$D$2:$D$49,0)</f>
        <v>0.5</v>
      </c>
      <c r="L170" s="5">
        <f>_xlfn.XLOOKUP(D170,products!$A$2:$A$49,products!$E$2:$E$49,0)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_xlfn.XLOOKUP(orders!C171,customers!$A$1:$A$1001,customers!$G$1:$G$1001,0)</f>
        <v>Ireland</v>
      </c>
      <c r="I171" t="str">
        <f>_xlfn.XLOOKUP(D171,products!$A$2:$A$49,products!$B$2:$B$49,0)</f>
        <v>Rob</v>
      </c>
      <c r="J171" t="str">
        <f>_xlfn.XLOOKUP(D171,products!$A$2:$A$49,products!$C$2:$C$49,0)</f>
        <v>D</v>
      </c>
      <c r="K171" s="4">
        <f>_xlfn.XLOOKUP(D171,products!$A$2:$A$49,products!$D$2:$D$49,0)</f>
        <v>1</v>
      </c>
      <c r="L171" s="5">
        <f>_xlfn.XLOOKUP(D171,products!$A$2:$A$49,products!$E$2:$E$49,0)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_xlfn.XLOOKUP(orders!C172,customers!$A$1:$A$1001,customers!$G$1:$G$1001,0)</f>
        <v>United Kingdom</v>
      </c>
      <c r="I172" t="str">
        <f>_xlfn.XLOOKUP(D172,products!$A$2:$A$49,products!$B$2:$B$49,0)</f>
        <v>Exc</v>
      </c>
      <c r="J172" t="str">
        <f>_xlfn.XLOOKUP(D172,products!$A$2:$A$49,products!$C$2:$C$49,0)</f>
        <v>L</v>
      </c>
      <c r="K172" s="4">
        <f>_xlfn.XLOOKUP(D172,products!$A$2:$A$49,products!$D$2:$D$49,0)</f>
        <v>2.5</v>
      </c>
      <c r="L172" s="5">
        <f>_xlfn.XLOOKUP(D172,products!$A$2:$A$49,products!$E$2:$E$49,0)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_xlfn.XLOOKUP(orders!C173,customers!$A$1:$A$1001,customers!$G$1:$G$1001,0)</f>
        <v>United States</v>
      </c>
      <c r="I173" t="str">
        <f>_xlfn.XLOOKUP(D173,products!$A$2:$A$49,products!$B$2:$B$49,0)</f>
        <v>Exc</v>
      </c>
      <c r="J173" t="str">
        <f>_xlfn.XLOOKUP(D173,products!$A$2:$A$49,products!$C$2:$C$49,0)</f>
        <v>M</v>
      </c>
      <c r="K173" s="4">
        <f>_xlfn.XLOOKUP(D173,products!$A$2:$A$49,products!$D$2:$D$49,0)</f>
        <v>2.5</v>
      </c>
      <c r="L173" s="5">
        <f>_xlfn.XLOOKUP(D173,products!$A$2:$A$49,products!$E$2:$E$49,0)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_xlfn.XLOOKUP(orders!C174,customers!$A$1:$A$1001,customers!$G$1:$G$1001,0)</f>
        <v>Ireland</v>
      </c>
      <c r="I174" t="str">
        <f>_xlfn.XLOOKUP(D174,products!$A$2:$A$49,products!$B$2:$B$49,0)</f>
        <v>Exc</v>
      </c>
      <c r="J174" t="str">
        <f>_xlfn.XLOOKUP(D174,products!$A$2:$A$49,products!$C$2:$C$49,0)</f>
        <v>D</v>
      </c>
      <c r="K174" s="4">
        <f>_xlfn.XLOOKUP(D174,products!$A$2:$A$49,products!$D$2:$D$49,0)</f>
        <v>0.5</v>
      </c>
      <c r="L174" s="5">
        <f>_xlfn.XLOOKUP(D174,products!$A$2:$A$49,products!$E$2:$E$49,0)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_xlfn.XLOOKUP(orders!C175,customers!$A$1:$A$1001,customers!$G$1:$G$1001,0)</f>
        <v>United States</v>
      </c>
      <c r="I175" t="str">
        <f>_xlfn.XLOOKUP(D175,products!$A$2:$A$49,products!$B$2:$B$49,0)</f>
        <v>Rob</v>
      </c>
      <c r="J175" t="str">
        <f>_xlfn.XLOOKUP(D175,products!$A$2:$A$49,products!$C$2:$C$49,0)</f>
        <v>M</v>
      </c>
      <c r="K175" s="4">
        <f>_xlfn.XLOOKUP(D175,products!$A$2:$A$49,products!$D$2:$D$49,0)</f>
        <v>2.5</v>
      </c>
      <c r="L175" s="5">
        <f>_xlfn.XLOOKUP(D175,products!$A$2:$A$49,products!$E$2:$E$49,0)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_xlfn.XLOOKUP(orders!C176,customers!$A$1:$A$1001,customers!$G$1:$G$1001,0)</f>
        <v>United States</v>
      </c>
      <c r="I176" t="str">
        <f>_xlfn.XLOOKUP(D176,products!$A$2:$A$49,products!$B$2:$B$49,0)</f>
        <v>Exc</v>
      </c>
      <c r="J176" t="str">
        <f>_xlfn.XLOOKUP(D176,products!$A$2:$A$49,products!$C$2:$C$49,0)</f>
        <v>L</v>
      </c>
      <c r="K176" s="4">
        <f>_xlfn.XLOOKUP(D176,products!$A$2:$A$49,products!$D$2:$D$49,0)</f>
        <v>2.5</v>
      </c>
      <c r="L176" s="5">
        <f>_xlfn.XLOOKUP(D176,products!$A$2:$A$49,products!$E$2:$E$49,0)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_xlfn.XLOOKUP(orders!C177,customers!$A$1:$A$1001,customers!$G$1:$G$1001,0)</f>
        <v>United States</v>
      </c>
      <c r="I177" t="str">
        <f>_xlfn.XLOOKUP(D177,products!$A$2:$A$49,products!$B$2:$B$49,0)</f>
        <v>Exc</v>
      </c>
      <c r="J177" t="str">
        <f>_xlfn.XLOOKUP(D177,products!$A$2:$A$49,products!$C$2:$C$49,0)</f>
        <v>M</v>
      </c>
      <c r="K177" s="4">
        <f>_xlfn.XLOOKUP(D177,products!$A$2:$A$49,products!$D$2:$D$49,0)</f>
        <v>2.5</v>
      </c>
      <c r="L177" s="5">
        <f>_xlfn.XLOOKUP(D177,products!$A$2:$A$49,products!$E$2:$E$49,0)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_xlfn.XLOOKUP(orders!C178,customers!$A$1:$A$1001,customers!$G$1:$G$1001,0)</f>
        <v>United States</v>
      </c>
      <c r="I178" t="str">
        <f>_xlfn.XLOOKUP(D178,products!$A$2:$A$49,products!$B$2:$B$49,0)</f>
        <v>Exc</v>
      </c>
      <c r="J178" t="str">
        <f>_xlfn.XLOOKUP(D178,products!$A$2:$A$49,products!$C$2:$C$49,0)</f>
        <v>L</v>
      </c>
      <c r="K178" s="4">
        <f>_xlfn.XLOOKUP(D178,products!$A$2:$A$49,products!$D$2:$D$49,0)</f>
        <v>2.5</v>
      </c>
      <c r="L178" s="5">
        <f>_xlfn.XLOOKUP(D178,products!$A$2:$A$49,products!$E$2:$E$49,0)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_xlfn.XLOOKUP(orders!C179,customers!$A$1:$A$1001,customers!$G$1:$G$1001,0)</f>
        <v>United States</v>
      </c>
      <c r="I179" t="str">
        <f>_xlfn.XLOOKUP(D179,products!$A$2:$A$49,products!$B$2:$B$49,0)</f>
        <v>Rob</v>
      </c>
      <c r="J179" t="str">
        <f>_xlfn.XLOOKUP(D179,products!$A$2:$A$49,products!$C$2:$C$49,0)</f>
        <v>L</v>
      </c>
      <c r="K179" s="4">
        <f>_xlfn.XLOOKUP(D179,products!$A$2:$A$49,products!$D$2:$D$49,0)</f>
        <v>2.5</v>
      </c>
      <c r="L179" s="5">
        <f>_xlfn.XLOOKUP(D179,products!$A$2:$A$49,products!$E$2:$E$49,0)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_xlfn.XLOOKUP(orders!C180,customers!$A$1:$A$1001,customers!$G$1:$G$1001,0)</f>
        <v>United States</v>
      </c>
      <c r="I180" t="str">
        <f>_xlfn.XLOOKUP(D180,products!$A$2:$A$49,products!$B$2:$B$49,0)</f>
        <v>Ara</v>
      </c>
      <c r="J180" t="str">
        <f>_xlfn.XLOOKUP(D180,products!$A$2:$A$49,products!$C$2:$C$49,0)</f>
        <v>L</v>
      </c>
      <c r="K180" s="4">
        <f>_xlfn.XLOOKUP(D180,products!$A$2:$A$49,products!$D$2:$D$49,0)</f>
        <v>1</v>
      </c>
      <c r="L180" s="5">
        <f>_xlfn.XLOOKUP(D180,products!$A$2:$A$49,products!$E$2:$E$49,0)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_xlfn.XLOOKUP(orders!C181,customers!$A$1:$A$1001,customers!$G$1:$G$1001,0)</f>
        <v>Ireland</v>
      </c>
      <c r="I181" t="str">
        <f>_xlfn.XLOOKUP(D181,products!$A$2:$A$49,products!$B$2:$B$49,0)</f>
        <v>Ara</v>
      </c>
      <c r="J181" t="str">
        <f>_xlfn.XLOOKUP(D181,products!$A$2:$A$49,products!$C$2:$C$49,0)</f>
        <v>D</v>
      </c>
      <c r="K181" s="4">
        <f>_xlfn.XLOOKUP(D181,products!$A$2:$A$49,products!$D$2:$D$49,0)</f>
        <v>0.2</v>
      </c>
      <c r="L181" s="5">
        <f>_xlfn.XLOOKUP(D181,products!$A$2:$A$49,products!$E$2:$E$49,0)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_xlfn.XLOOKUP(orders!C182,customers!$A$1:$A$1001,customers!$G$1:$G$1001,0)</f>
        <v>United States</v>
      </c>
      <c r="I182" t="str">
        <f>_xlfn.XLOOKUP(D182,products!$A$2:$A$49,products!$B$2:$B$49,0)</f>
        <v>Exc</v>
      </c>
      <c r="J182" t="str">
        <f>_xlfn.XLOOKUP(D182,products!$A$2:$A$49,products!$C$2:$C$49,0)</f>
        <v>L</v>
      </c>
      <c r="K182" s="4">
        <f>_xlfn.XLOOKUP(D182,products!$A$2:$A$49,products!$D$2:$D$49,0)</f>
        <v>0.2</v>
      </c>
      <c r="L182" s="5">
        <f>_xlfn.XLOOKUP(D182,products!$A$2:$A$49,products!$E$2:$E$49,0)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_xlfn.XLOOKUP(orders!C183,customers!$A$1:$A$1001,customers!$G$1:$G$1001,0)</f>
        <v>United States</v>
      </c>
      <c r="I183" t="str">
        <f>_xlfn.XLOOKUP(D183,products!$A$2:$A$49,products!$B$2:$B$49,0)</f>
        <v>Ara</v>
      </c>
      <c r="J183" t="str">
        <f>_xlfn.XLOOKUP(D183,products!$A$2:$A$49,products!$C$2:$C$49,0)</f>
        <v>D</v>
      </c>
      <c r="K183" s="4">
        <f>_xlfn.XLOOKUP(D183,products!$A$2:$A$49,products!$D$2:$D$49,0)</f>
        <v>0.5</v>
      </c>
      <c r="L183" s="5">
        <f>_xlfn.XLOOKUP(D183,products!$A$2:$A$49,products!$E$2:$E$49,0)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_xlfn.XLOOKUP(orders!C184,customers!$A$1:$A$1001,customers!$G$1:$G$1001,0)</f>
        <v>United States</v>
      </c>
      <c r="I184" t="str">
        <f>_xlfn.XLOOKUP(D184,products!$A$2:$A$49,products!$B$2:$B$49,0)</f>
        <v>Rob</v>
      </c>
      <c r="J184" t="str">
        <f>_xlfn.XLOOKUP(D184,products!$A$2:$A$49,products!$C$2:$C$49,0)</f>
        <v>D</v>
      </c>
      <c r="K184" s="4">
        <f>_xlfn.XLOOKUP(D184,products!$A$2:$A$49,products!$D$2:$D$49,0)</f>
        <v>0.5</v>
      </c>
      <c r="L184" s="5">
        <f>_xlfn.XLOOKUP(D184,products!$A$2:$A$49,products!$E$2:$E$49,0)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_xlfn.XLOOKUP(orders!C185,customers!$A$1:$A$1001,customers!$G$1:$G$1001,0)</f>
        <v>United States</v>
      </c>
      <c r="I185" t="str">
        <f>_xlfn.XLOOKUP(D185,products!$A$2:$A$49,products!$B$2:$B$49,0)</f>
        <v>Exc</v>
      </c>
      <c r="J185" t="str">
        <f>_xlfn.XLOOKUP(D185,products!$A$2:$A$49,products!$C$2:$C$49,0)</f>
        <v>M</v>
      </c>
      <c r="K185" s="4">
        <f>_xlfn.XLOOKUP(D185,products!$A$2:$A$49,products!$D$2:$D$49,0)</f>
        <v>0.2</v>
      </c>
      <c r="L185" s="5">
        <f>_xlfn.XLOOKUP(D185,products!$A$2:$A$49,products!$E$2:$E$49,0)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_xlfn.XLOOKUP(orders!C186,customers!$A$1:$A$1001,customers!$G$1:$G$1001,0)</f>
        <v>United States</v>
      </c>
      <c r="I186" t="str">
        <f>_xlfn.XLOOKUP(D186,products!$A$2:$A$49,products!$B$2:$B$49,0)</f>
        <v>Ara</v>
      </c>
      <c r="J186" t="str">
        <f>_xlfn.XLOOKUP(D186,products!$A$2:$A$49,products!$C$2:$C$49,0)</f>
        <v>L</v>
      </c>
      <c r="K186" s="4">
        <f>_xlfn.XLOOKUP(D186,products!$A$2:$A$49,products!$D$2:$D$49,0)</f>
        <v>0.5</v>
      </c>
      <c r="L186" s="5">
        <f>_xlfn.XLOOKUP(D186,products!$A$2:$A$49,products!$E$2:$E$49,0)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_xlfn.XLOOKUP(orders!C187,customers!$A$1:$A$1001,customers!$G$1:$G$1001,0)</f>
        <v>United States</v>
      </c>
      <c r="I187" t="str">
        <f>_xlfn.XLOOKUP(D187,products!$A$2:$A$49,products!$B$2:$B$49,0)</f>
        <v>Exc</v>
      </c>
      <c r="J187" t="str">
        <f>_xlfn.XLOOKUP(D187,products!$A$2:$A$49,products!$C$2:$C$49,0)</f>
        <v>D</v>
      </c>
      <c r="K187" s="4">
        <f>_xlfn.XLOOKUP(D187,products!$A$2:$A$49,products!$D$2:$D$49,0)</f>
        <v>0.5</v>
      </c>
      <c r="L187" s="5">
        <f>_xlfn.XLOOKUP(D187,products!$A$2:$A$49,products!$E$2:$E$49,0)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_xlfn.XLOOKUP(orders!C188,customers!$A$1:$A$1001,customers!$G$1:$G$1001,0)</f>
        <v>United States</v>
      </c>
      <c r="I188" t="str">
        <f>_xlfn.XLOOKUP(D188,products!$A$2:$A$49,products!$B$2:$B$49,0)</f>
        <v>Rob</v>
      </c>
      <c r="J188" t="str">
        <f>_xlfn.XLOOKUP(D188,products!$A$2:$A$49,products!$C$2:$C$49,0)</f>
        <v>M</v>
      </c>
      <c r="K188" s="4">
        <f>_xlfn.XLOOKUP(D188,products!$A$2:$A$49,products!$D$2:$D$49,0)</f>
        <v>2.5</v>
      </c>
      <c r="L188" s="5">
        <f>_xlfn.XLOOKUP(D188,products!$A$2:$A$49,products!$E$2:$E$49,0)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_xlfn.XLOOKUP(orders!C189,customers!$A$1:$A$1001,customers!$G$1:$G$1001,0)</f>
        <v>United States</v>
      </c>
      <c r="I189" t="str">
        <f>_xlfn.XLOOKUP(D189,products!$A$2:$A$49,products!$B$2:$B$49,0)</f>
        <v>Lib</v>
      </c>
      <c r="J189" t="str">
        <f>_xlfn.XLOOKUP(D189,products!$A$2:$A$49,products!$C$2:$C$49,0)</f>
        <v>M</v>
      </c>
      <c r="K189" s="4">
        <f>_xlfn.XLOOKUP(D189,products!$A$2:$A$49,products!$D$2:$D$49,0)</f>
        <v>0.5</v>
      </c>
      <c r="L189" s="5">
        <f>_xlfn.XLOOKUP(D189,products!$A$2:$A$49,products!$E$2:$E$49,0)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_xlfn.XLOOKUP(orders!C190,customers!$A$1:$A$1001,customers!$G$1:$G$1001,0)</f>
        <v>United States</v>
      </c>
      <c r="I190" t="str">
        <f>_xlfn.XLOOKUP(D190,products!$A$2:$A$49,products!$B$2:$B$49,0)</f>
        <v>Exc</v>
      </c>
      <c r="J190" t="str">
        <f>_xlfn.XLOOKUP(D190,products!$A$2:$A$49,products!$C$2:$C$49,0)</f>
        <v>L</v>
      </c>
      <c r="K190" s="4">
        <f>_xlfn.XLOOKUP(D190,products!$A$2:$A$49,products!$D$2:$D$49,0)</f>
        <v>0.2</v>
      </c>
      <c r="L190" s="5">
        <f>_xlfn.XLOOKUP(D190,products!$A$2:$A$49,products!$E$2:$E$49,0)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_xlfn.XLOOKUP(orders!C191,customers!$A$1:$A$1001,customers!$G$1:$G$1001,0)</f>
        <v>United States</v>
      </c>
      <c r="I191" t="str">
        <f>_xlfn.XLOOKUP(D191,products!$A$2:$A$49,products!$B$2:$B$49,0)</f>
        <v>Lib</v>
      </c>
      <c r="J191" t="str">
        <f>_xlfn.XLOOKUP(D191,products!$A$2:$A$49,products!$C$2:$C$49,0)</f>
        <v>M</v>
      </c>
      <c r="K191" s="4">
        <f>_xlfn.XLOOKUP(D191,products!$A$2:$A$49,products!$D$2:$D$49,0)</f>
        <v>1</v>
      </c>
      <c r="L191" s="5">
        <f>_xlfn.XLOOKUP(D191,products!$A$2:$A$49,products!$E$2:$E$49,0)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_xlfn.XLOOKUP(orders!C192,customers!$A$1:$A$1001,customers!$G$1:$G$1001,0)</f>
        <v>United States</v>
      </c>
      <c r="I192" t="str">
        <f>_xlfn.XLOOKUP(D192,products!$A$2:$A$49,products!$B$2:$B$49,0)</f>
        <v>Lib</v>
      </c>
      <c r="J192" t="str">
        <f>_xlfn.XLOOKUP(D192,products!$A$2:$A$49,products!$C$2:$C$49,0)</f>
        <v>M</v>
      </c>
      <c r="K192" s="4">
        <f>_xlfn.XLOOKUP(D192,products!$A$2:$A$49,products!$D$2:$D$49,0)</f>
        <v>2.5</v>
      </c>
      <c r="L192" s="5">
        <f>_xlfn.XLOOKUP(D192,products!$A$2:$A$49,products!$E$2:$E$49,0)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_xlfn.XLOOKUP(orders!C193,customers!$A$1:$A$1001,customers!$G$1:$G$1001,0)</f>
        <v>United States</v>
      </c>
      <c r="I193" t="str">
        <f>_xlfn.XLOOKUP(D193,products!$A$2:$A$49,products!$B$2:$B$49,0)</f>
        <v>Lib</v>
      </c>
      <c r="J193" t="str">
        <f>_xlfn.XLOOKUP(D193,products!$A$2:$A$49,products!$C$2:$C$49,0)</f>
        <v>D</v>
      </c>
      <c r="K193" s="4">
        <f>_xlfn.XLOOKUP(D193,products!$A$2:$A$49,products!$D$2:$D$49,0)</f>
        <v>0.2</v>
      </c>
      <c r="L193" s="5">
        <f>_xlfn.XLOOKUP(D193,products!$A$2:$A$49,products!$E$2:$E$49,0)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_xlfn.XLOOKUP(orders!C194,customers!$A$1:$A$1001,customers!$G$1:$G$1001,0)</f>
        <v>Ireland</v>
      </c>
      <c r="I194" t="str">
        <f>_xlfn.XLOOKUP(D194,products!$A$2:$A$49,products!$B$2:$B$49,0)</f>
        <v>Exc</v>
      </c>
      <c r="J194" t="str">
        <f>_xlfn.XLOOKUP(D194,products!$A$2:$A$49,products!$C$2:$C$49,0)</f>
        <v>D</v>
      </c>
      <c r="K194" s="4">
        <f>_xlfn.XLOOKUP(D194,products!$A$2:$A$49,products!$D$2:$D$49,0)</f>
        <v>1</v>
      </c>
      <c r="L194" s="5">
        <f>_xlfn.XLOOKUP(D194,products!$A$2:$A$49,products!$E$2:$E$49,0)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_xlfn.XLOOKUP(orders!C195,customers!$A$1:$A$1001,customers!$G$1:$G$1001,0)</f>
        <v>United States</v>
      </c>
      <c r="I195" t="str">
        <f>_xlfn.XLOOKUP(D195,products!$A$2:$A$49,products!$B$2:$B$49,0)</f>
        <v>Exc</v>
      </c>
      <c r="J195" t="str">
        <f>_xlfn.XLOOKUP(D195,products!$A$2:$A$49,products!$C$2:$C$49,0)</f>
        <v>L</v>
      </c>
      <c r="K195" s="4">
        <f>_xlfn.XLOOKUP(D195,products!$A$2:$A$49,products!$D$2:$D$49,0)</f>
        <v>1</v>
      </c>
      <c r="L195" s="5">
        <f>_xlfn.XLOOKUP(D195,products!$A$2:$A$49,products!$E$2:$E$49,0)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_xlfn.XLOOKUP(orders!C196,customers!$A$1:$A$1001,customers!$G$1:$G$1001,0)</f>
        <v>United States</v>
      </c>
      <c r="I196" t="str">
        <f>_xlfn.XLOOKUP(D196,products!$A$2:$A$49,products!$B$2:$B$49,0)</f>
        <v>Exc</v>
      </c>
      <c r="J196" t="str">
        <f>_xlfn.XLOOKUP(D196,products!$A$2:$A$49,products!$C$2:$C$49,0)</f>
        <v>D</v>
      </c>
      <c r="K196" s="4">
        <f>_xlfn.XLOOKUP(D196,products!$A$2:$A$49,products!$D$2:$D$49,0)</f>
        <v>0.5</v>
      </c>
      <c r="L196" s="5">
        <f>_xlfn.XLOOKUP(D196,products!$A$2:$A$49,products!$E$2:$E$49,0)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_xlfn.XLOOKUP(orders!C197,customers!$A$1:$A$1001,customers!$G$1:$G$1001,0)</f>
        <v>United States</v>
      </c>
      <c r="I197" t="str">
        <f>_xlfn.XLOOKUP(D197,products!$A$2:$A$49,products!$B$2:$B$49,0)</f>
        <v>Ara</v>
      </c>
      <c r="J197" t="str">
        <f>_xlfn.XLOOKUP(D197,products!$A$2:$A$49,products!$C$2:$C$49,0)</f>
        <v>L</v>
      </c>
      <c r="K197" s="4">
        <f>_xlfn.XLOOKUP(D197,products!$A$2:$A$49,products!$D$2:$D$49,0)</f>
        <v>1</v>
      </c>
      <c r="L197" s="5">
        <f>_xlfn.XLOOKUP(D197,products!$A$2:$A$49,products!$E$2:$E$49,0)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_xlfn.XLOOKUP(orders!C198,customers!$A$1:$A$1001,customers!$G$1:$G$1001,0)</f>
        <v>United States</v>
      </c>
      <c r="I198" t="str">
        <f>_xlfn.XLOOKUP(D198,products!$A$2:$A$49,products!$B$2:$B$49,0)</f>
        <v>Exc</v>
      </c>
      <c r="J198" t="str">
        <f>_xlfn.XLOOKUP(D198,products!$A$2:$A$49,products!$C$2:$C$49,0)</f>
        <v>L</v>
      </c>
      <c r="K198" s="4">
        <f>_xlfn.XLOOKUP(D198,products!$A$2:$A$49,products!$D$2:$D$49,0)</f>
        <v>0.5</v>
      </c>
      <c r="L198" s="5">
        <f>_xlfn.XLOOKUP(D198,products!$A$2:$A$49,products!$E$2:$E$49,0)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_xlfn.XLOOKUP(orders!C199,customers!$A$1:$A$1001,customers!$G$1:$G$1001,0)</f>
        <v>United States</v>
      </c>
      <c r="I199" t="str">
        <f>_xlfn.XLOOKUP(D199,products!$A$2:$A$49,products!$B$2:$B$49,0)</f>
        <v>Lib</v>
      </c>
      <c r="J199" t="str">
        <f>_xlfn.XLOOKUP(D199,products!$A$2:$A$49,products!$C$2:$C$49,0)</f>
        <v>D</v>
      </c>
      <c r="K199" s="4">
        <f>_xlfn.XLOOKUP(D199,products!$A$2:$A$49,products!$D$2:$D$49,0)</f>
        <v>2.5</v>
      </c>
      <c r="L199" s="5">
        <f>_xlfn.XLOOKUP(D199,products!$A$2:$A$49,products!$E$2:$E$49,0)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_xlfn.XLOOKUP(orders!C200,customers!$A$1:$A$1001,customers!$G$1:$G$1001,0)</f>
        <v>United States</v>
      </c>
      <c r="I200" t="str">
        <f>_xlfn.XLOOKUP(D200,products!$A$2:$A$49,products!$B$2:$B$49,0)</f>
        <v>Lib</v>
      </c>
      <c r="J200" t="str">
        <f>_xlfn.XLOOKUP(D200,products!$A$2:$A$49,products!$C$2:$C$49,0)</f>
        <v>D</v>
      </c>
      <c r="K200" s="4">
        <f>_xlfn.XLOOKUP(D200,products!$A$2:$A$49,products!$D$2:$D$49,0)</f>
        <v>2.5</v>
      </c>
      <c r="L200" s="5">
        <f>_xlfn.XLOOKUP(D200,products!$A$2:$A$49,products!$E$2:$E$49,0)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_xlfn.XLOOKUP(orders!C201,customers!$A$1:$A$1001,customers!$G$1:$G$1001,0)</f>
        <v>United States</v>
      </c>
      <c r="I201" t="str">
        <f>_xlfn.XLOOKUP(D201,products!$A$2:$A$49,products!$B$2:$B$49,0)</f>
        <v>Lib</v>
      </c>
      <c r="J201" t="str">
        <f>_xlfn.XLOOKUP(D201,products!$A$2:$A$49,products!$C$2:$C$49,0)</f>
        <v>L</v>
      </c>
      <c r="K201" s="4">
        <f>_xlfn.XLOOKUP(D201,products!$A$2:$A$49,products!$D$2:$D$49,0)</f>
        <v>0.5</v>
      </c>
      <c r="L201" s="5">
        <f>_xlfn.XLOOKUP(D201,products!$A$2:$A$49,products!$E$2:$E$49,0)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_xlfn.XLOOKUP(orders!C202,customers!$A$1:$A$1001,customers!$G$1:$G$1001,0)</f>
        <v>United States</v>
      </c>
      <c r="I202" t="str">
        <f>_xlfn.XLOOKUP(D202,products!$A$2:$A$49,products!$B$2:$B$49,0)</f>
        <v>Exc</v>
      </c>
      <c r="J202" t="str">
        <f>_xlfn.XLOOKUP(D202,products!$A$2:$A$49,products!$C$2:$C$49,0)</f>
        <v>M</v>
      </c>
      <c r="K202" s="4">
        <f>_xlfn.XLOOKUP(D202,products!$A$2:$A$49,products!$D$2:$D$49,0)</f>
        <v>1</v>
      </c>
      <c r="L202" s="5">
        <f>_xlfn.XLOOKUP(D202,products!$A$2:$A$49,products!$E$2:$E$49,0)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_xlfn.XLOOKUP(orders!C203,customers!$A$1:$A$1001,customers!$G$1:$G$1001,0)</f>
        <v>United States</v>
      </c>
      <c r="I203" t="str">
        <f>_xlfn.XLOOKUP(D203,products!$A$2:$A$49,products!$B$2:$B$49,0)</f>
        <v>Lib</v>
      </c>
      <c r="J203" t="str">
        <f>_xlfn.XLOOKUP(D203,products!$A$2:$A$49,products!$C$2:$C$49,0)</f>
        <v>L</v>
      </c>
      <c r="K203" s="4">
        <f>_xlfn.XLOOKUP(D203,products!$A$2:$A$49,products!$D$2:$D$49,0)</f>
        <v>0.5</v>
      </c>
      <c r="L203" s="5">
        <f>_xlfn.XLOOKUP(D203,products!$A$2:$A$49,products!$E$2:$E$49,0)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_xlfn.XLOOKUP(orders!C204,customers!$A$1:$A$1001,customers!$G$1:$G$1001,0)</f>
        <v>United States</v>
      </c>
      <c r="I204" t="str">
        <f>_xlfn.XLOOKUP(D204,products!$A$2:$A$49,products!$B$2:$B$49,0)</f>
        <v>Lib</v>
      </c>
      <c r="J204" t="str">
        <f>_xlfn.XLOOKUP(D204,products!$A$2:$A$49,products!$C$2:$C$49,0)</f>
        <v>D</v>
      </c>
      <c r="K204" s="4">
        <f>_xlfn.XLOOKUP(D204,products!$A$2:$A$49,products!$D$2:$D$49,0)</f>
        <v>2.5</v>
      </c>
      <c r="L204" s="5">
        <f>_xlfn.XLOOKUP(D204,products!$A$2:$A$49,products!$E$2:$E$49,0)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_xlfn.XLOOKUP(orders!C205,customers!$A$1:$A$1001,customers!$G$1:$G$1001,0)</f>
        <v>United States</v>
      </c>
      <c r="I205" t="str">
        <f>_xlfn.XLOOKUP(D205,products!$A$2:$A$49,products!$B$2:$B$49,0)</f>
        <v>Lib</v>
      </c>
      <c r="J205" t="str">
        <f>_xlfn.XLOOKUP(D205,products!$A$2:$A$49,products!$C$2:$C$49,0)</f>
        <v>L</v>
      </c>
      <c r="K205" s="4">
        <f>_xlfn.XLOOKUP(D205,products!$A$2:$A$49,products!$D$2:$D$49,0)</f>
        <v>0.2</v>
      </c>
      <c r="L205" s="5">
        <f>_xlfn.XLOOKUP(D205,products!$A$2:$A$49,products!$E$2:$E$49,0)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_xlfn.XLOOKUP(orders!C206,customers!$A$1:$A$1001,customers!$G$1:$G$1001,0)</f>
        <v>United States</v>
      </c>
      <c r="I206" t="str">
        <f>_xlfn.XLOOKUP(D206,products!$A$2:$A$49,products!$B$2:$B$49,0)</f>
        <v>Exc</v>
      </c>
      <c r="J206" t="str">
        <f>_xlfn.XLOOKUP(D206,products!$A$2:$A$49,products!$C$2:$C$49,0)</f>
        <v>M</v>
      </c>
      <c r="K206" s="4">
        <f>_xlfn.XLOOKUP(D206,products!$A$2:$A$49,products!$D$2:$D$49,0)</f>
        <v>1</v>
      </c>
      <c r="L206" s="5">
        <f>_xlfn.XLOOKUP(D206,products!$A$2:$A$49,products!$E$2:$E$49,0)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_xlfn.XLOOKUP(orders!C207,customers!$A$1:$A$1001,customers!$G$1:$G$1001,0)</f>
        <v>United States</v>
      </c>
      <c r="I207" t="str">
        <f>_xlfn.XLOOKUP(D207,products!$A$2:$A$49,products!$B$2:$B$49,0)</f>
        <v>Rob</v>
      </c>
      <c r="J207" t="str">
        <f>_xlfn.XLOOKUP(D207,products!$A$2:$A$49,products!$C$2:$C$49,0)</f>
        <v>D</v>
      </c>
      <c r="K207" s="4">
        <f>_xlfn.XLOOKUP(D207,products!$A$2:$A$49,products!$D$2:$D$49,0)</f>
        <v>0.2</v>
      </c>
      <c r="L207" s="5">
        <f>_xlfn.XLOOKUP(D207,products!$A$2:$A$49,products!$E$2:$E$49,0)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_xlfn.XLOOKUP(orders!C208,customers!$A$1:$A$1001,customers!$G$1:$G$1001,0)</f>
        <v>United States</v>
      </c>
      <c r="I208" t="str">
        <f>_xlfn.XLOOKUP(D208,products!$A$2:$A$49,products!$B$2:$B$49,0)</f>
        <v>Ara</v>
      </c>
      <c r="J208" t="str">
        <f>_xlfn.XLOOKUP(D208,products!$A$2:$A$49,products!$C$2:$C$49,0)</f>
        <v>M</v>
      </c>
      <c r="K208" s="4">
        <f>_xlfn.XLOOKUP(D208,products!$A$2:$A$49,products!$D$2:$D$49,0)</f>
        <v>1</v>
      </c>
      <c r="L208" s="5">
        <f>_xlfn.XLOOKUP(D208,products!$A$2:$A$49,products!$E$2:$E$49,0)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_xlfn.XLOOKUP(orders!C209,customers!$A$1:$A$1001,customers!$G$1:$G$1001,0)</f>
        <v>United States</v>
      </c>
      <c r="I209" t="str">
        <f>_xlfn.XLOOKUP(D209,products!$A$2:$A$49,products!$B$2:$B$49,0)</f>
        <v>Ara</v>
      </c>
      <c r="J209" t="str">
        <f>_xlfn.XLOOKUP(D209,products!$A$2:$A$49,products!$C$2:$C$49,0)</f>
        <v>M</v>
      </c>
      <c r="K209" s="4">
        <f>_xlfn.XLOOKUP(D209,products!$A$2:$A$49,products!$D$2:$D$49,0)</f>
        <v>0.5</v>
      </c>
      <c r="L209" s="5">
        <f>_xlfn.XLOOKUP(D209,products!$A$2:$A$49,products!$E$2:$E$49,0)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_xlfn.XLOOKUP(orders!C210,customers!$A$1:$A$1001,customers!$G$1:$G$1001,0)</f>
        <v>Ireland</v>
      </c>
      <c r="I210" t="str">
        <f>_xlfn.XLOOKUP(D210,products!$A$2:$A$49,products!$B$2:$B$49,0)</f>
        <v>Exc</v>
      </c>
      <c r="J210" t="str">
        <f>_xlfn.XLOOKUP(D210,products!$A$2:$A$49,products!$C$2:$C$49,0)</f>
        <v>D</v>
      </c>
      <c r="K210" s="4">
        <f>_xlfn.XLOOKUP(D210,products!$A$2:$A$49,products!$D$2:$D$49,0)</f>
        <v>0.5</v>
      </c>
      <c r="L210" s="5">
        <f>_xlfn.XLOOKUP(D210,products!$A$2:$A$49,products!$E$2:$E$49,0)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_xlfn.XLOOKUP(orders!C211,customers!$A$1:$A$1001,customers!$G$1:$G$1001,0)</f>
        <v>United Kingdom</v>
      </c>
      <c r="I211" t="str">
        <f>_xlfn.XLOOKUP(D211,products!$A$2:$A$49,products!$B$2:$B$49,0)</f>
        <v>Ara</v>
      </c>
      <c r="J211" t="str">
        <f>_xlfn.XLOOKUP(D211,products!$A$2:$A$49,products!$C$2:$C$49,0)</f>
        <v>M</v>
      </c>
      <c r="K211" s="4">
        <f>_xlfn.XLOOKUP(D211,products!$A$2:$A$49,products!$D$2:$D$49,0)</f>
        <v>0.5</v>
      </c>
      <c r="L211" s="5">
        <f>_xlfn.XLOOKUP(D211,products!$A$2:$A$49,products!$E$2:$E$49,0)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_xlfn.XLOOKUP(orders!C212,customers!$A$1:$A$1001,customers!$G$1:$G$1001,0)</f>
        <v>United States</v>
      </c>
      <c r="I212" t="str">
        <f>_xlfn.XLOOKUP(D212,products!$A$2:$A$49,products!$B$2:$B$49,0)</f>
        <v>Lib</v>
      </c>
      <c r="J212" t="str">
        <f>_xlfn.XLOOKUP(D212,products!$A$2:$A$49,products!$C$2:$C$49,0)</f>
        <v>D</v>
      </c>
      <c r="K212" s="4">
        <f>_xlfn.XLOOKUP(D212,products!$A$2:$A$49,products!$D$2:$D$49,0)</f>
        <v>1</v>
      </c>
      <c r="L212" s="5">
        <f>_xlfn.XLOOKUP(D212,products!$A$2:$A$49,products!$E$2:$E$49,0)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_xlfn.XLOOKUP(orders!C213,customers!$A$1:$A$1001,customers!$G$1:$G$1001,0)</f>
        <v>United States</v>
      </c>
      <c r="I213" t="str">
        <f>_xlfn.XLOOKUP(D213,products!$A$2:$A$49,products!$B$2:$B$49,0)</f>
        <v>Exc</v>
      </c>
      <c r="J213" t="str">
        <f>_xlfn.XLOOKUP(D213,products!$A$2:$A$49,products!$C$2:$C$49,0)</f>
        <v>L</v>
      </c>
      <c r="K213" s="4">
        <f>_xlfn.XLOOKUP(D213,products!$A$2:$A$49,products!$D$2:$D$49,0)</f>
        <v>0.5</v>
      </c>
      <c r="L213" s="5">
        <f>_xlfn.XLOOKUP(D213,products!$A$2:$A$49,products!$E$2:$E$49,0)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_xlfn.XLOOKUP(orders!C214,customers!$A$1:$A$1001,customers!$G$1:$G$1001,0)</f>
        <v>United States</v>
      </c>
      <c r="I214" t="str">
        <f>_xlfn.XLOOKUP(D214,products!$A$2:$A$49,products!$B$2:$B$49,0)</f>
        <v>Exc</v>
      </c>
      <c r="J214" t="str">
        <f>_xlfn.XLOOKUP(D214,products!$A$2:$A$49,products!$C$2:$C$49,0)</f>
        <v>D</v>
      </c>
      <c r="K214" s="4">
        <f>_xlfn.XLOOKUP(D214,products!$A$2:$A$49,products!$D$2:$D$49,0)</f>
        <v>0.2</v>
      </c>
      <c r="L214" s="5">
        <f>_xlfn.XLOOKUP(D214,products!$A$2:$A$49,products!$E$2:$E$49,0)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_xlfn.XLOOKUP(orders!C215,customers!$A$1:$A$1001,customers!$G$1:$G$1001,0)</f>
        <v>United States</v>
      </c>
      <c r="I215" t="str">
        <f>_xlfn.XLOOKUP(D215,products!$A$2:$A$49,products!$B$2:$B$49,0)</f>
        <v>Rob</v>
      </c>
      <c r="J215" t="str">
        <f>_xlfn.XLOOKUP(D215,products!$A$2:$A$49,products!$C$2:$C$49,0)</f>
        <v>D</v>
      </c>
      <c r="K215" s="4">
        <f>_xlfn.XLOOKUP(D215,products!$A$2:$A$49,products!$D$2:$D$49,0)</f>
        <v>2.5</v>
      </c>
      <c r="L215" s="5">
        <f>_xlfn.XLOOKUP(D215,products!$A$2:$A$49,products!$E$2:$E$49,0)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_xlfn.XLOOKUP(orders!C216,customers!$A$1:$A$1001,customers!$G$1:$G$1001,0)</f>
        <v>Ireland</v>
      </c>
      <c r="I216" t="str">
        <f>_xlfn.XLOOKUP(D216,products!$A$2:$A$49,products!$B$2:$B$49,0)</f>
        <v>Lib</v>
      </c>
      <c r="J216" t="str">
        <f>_xlfn.XLOOKUP(D216,products!$A$2:$A$49,products!$C$2:$C$49,0)</f>
        <v>L</v>
      </c>
      <c r="K216" s="4">
        <f>_xlfn.XLOOKUP(D216,products!$A$2:$A$49,products!$D$2:$D$49,0)</f>
        <v>1</v>
      </c>
      <c r="L216" s="5">
        <f>_xlfn.XLOOKUP(D216,products!$A$2:$A$49,products!$E$2:$E$49,0)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_xlfn.XLOOKUP(orders!C217,customers!$A$1:$A$1001,customers!$G$1:$G$1001,0)</f>
        <v>United States</v>
      </c>
      <c r="I217" t="str">
        <f>_xlfn.XLOOKUP(D217,products!$A$2:$A$49,products!$B$2:$B$49,0)</f>
        <v>Lib</v>
      </c>
      <c r="J217" t="str">
        <f>_xlfn.XLOOKUP(D217,products!$A$2:$A$49,products!$C$2:$C$49,0)</f>
        <v>D</v>
      </c>
      <c r="K217" s="4">
        <f>_xlfn.XLOOKUP(D217,products!$A$2:$A$49,products!$D$2:$D$49,0)</f>
        <v>0.2</v>
      </c>
      <c r="L217" s="5">
        <f>_xlfn.XLOOKUP(D217,products!$A$2:$A$49,products!$E$2:$E$49,0)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_xlfn.XLOOKUP(orders!C218,customers!$A$1:$A$1001,customers!$G$1:$G$1001,0)</f>
        <v>United States</v>
      </c>
      <c r="I218" t="str">
        <f>_xlfn.XLOOKUP(D218,products!$A$2:$A$49,products!$B$2:$B$49,0)</f>
        <v>Lib</v>
      </c>
      <c r="J218" t="str">
        <f>_xlfn.XLOOKUP(D218,products!$A$2:$A$49,products!$C$2:$C$49,0)</f>
        <v>M</v>
      </c>
      <c r="K218" s="4">
        <f>_xlfn.XLOOKUP(D218,products!$A$2:$A$49,products!$D$2:$D$49,0)</f>
        <v>1</v>
      </c>
      <c r="L218" s="5">
        <f>_xlfn.XLOOKUP(D218,products!$A$2:$A$49,products!$E$2:$E$49,0)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_xlfn.XLOOKUP(orders!C219,customers!$A$1:$A$1001,customers!$G$1:$G$1001,0)</f>
        <v>United States</v>
      </c>
      <c r="I219" t="str">
        <f>_xlfn.XLOOKUP(D219,products!$A$2:$A$49,products!$B$2:$B$49,0)</f>
        <v>Exc</v>
      </c>
      <c r="J219" t="str">
        <f>_xlfn.XLOOKUP(D219,products!$A$2:$A$49,products!$C$2:$C$49,0)</f>
        <v>L</v>
      </c>
      <c r="K219" s="4">
        <f>_xlfn.XLOOKUP(D219,products!$A$2:$A$49,products!$D$2:$D$49,0)</f>
        <v>0.5</v>
      </c>
      <c r="L219" s="5">
        <f>_xlfn.XLOOKUP(D219,products!$A$2:$A$49,products!$E$2:$E$49,0)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_xlfn.XLOOKUP(orders!C220,customers!$A$1:$A$1001,customers!$G$1:$G$1001,0)</f>
        <v>Ireland</v>
      </c>
      <c r="I220" t="str">
        <f>_xlfn.XLOOKUP(D220,products!$A$2:$A$49,products!$B$2:$B$49,0)</f>
        <v>Ara</v>
      </c>
      <c r="J220" t="str">
        <f>_xlfn.XLOOKUP(D220,products!$A$2:$A$49,products!$C$2:$C$49,0)</f>
        <v>M</v>
      </c>
      <c r="K220" s="4">
        <f>_xlfn.XLOOKUP(D220,products!$A$2:$A$49,products!$D$2:$D$49,0)</f>
        <v>1</v>
      </c>
      <c r="L220" s="5">
        <f>_xlfn.XLOOKUP(D220,products!$A$2:$A$49,products!$E$2:$E$49,0)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_xlfn.XLOOKUP(orders!C221,customers!$A$1:$A$1001,customers!$G$1:$G$1001,0)</f>
        <v>United States</v>
      </c>
      <c r="I221" t="str">
        <f>_xlfn.XLOOKUP(D221,products!$A$2:$A$49,products!$B$2:$B$49,0)</f>
        <v>Rob</v>
      </c>
      <c r="J221" t="str">
        <f>_xlfn.XLOOKUP(D221,products!$A$2:$A$49,products!$C$2:$C$49,0)</f>
        <v>L</v>
      </c>
      <c r="K221" s="4">
        <f>_xlfn.XLOOKUP(D221,products!$A$2:$A$49,products!$D$2:$D$49,0)</f>
        <v>0.2</v>
      </c>
      <c r="L221" s="5">
        <f>_xlfn.XLOOKUP(D221,products!$A$2:$A$49,products!$E$2:$E$49,0)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_xlfn.XLOOKUP(orders!C222,customers!$A$1:$A$1001,customers!$G$1:$G$1001,0)</f>
        <v>United States</v>
      </c>
      <c r="I222" t="str">
        <f>_xlfn.XLOOKUP(D222,products!$A$2:$A$49,products!$B$2:$B$49,0)</f>
        <v>Rob</v>
      </c>
      <c r="J222" t="str">
        <f>_xlfn.XLOOKUP(D222,products!$A$2:$A$49,products!$C$2:$C$49,0)</f>
        <v>M</v>
      </c>
      <c r="K222" s="4">
        <f>_xlfn.XLOOKUP(D222,products!$A$2:$A$49,products!$D$2:$D$49,0)</f>
        <v>0.2</v>
      </c>
      <c r="L222" s="5">
        <f>_xlfn.XLOOKUP(D222,products!$A$2:$A$49,products!$E$2:$E$49,0)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_xlfn.XLOOKUP(orders!C223,customers!$A$1:$A$1001,customers!$G$1:$G$1001,0)</f>
        <v>United States</v>
      </c>
      <c r="I223" t="str">
        <f>_xlfn.XLOOKUP(D223,products!$A$2:$A$49,products!$B$2:$B$49,0)</f>
        <v>Ara</v>
      </c>
      <c r="J223" t="str">
        <f>_xlfn.XLOOKUP(D223,products!$A$2:$A$49,products!$C$2:$C$49,0)</f>
        <v>L</v>
      </c>
      <c r="K223" s="4">
        <f>_xlfn.XLOOKUP(D223,products!$A$2:$A$49,products!$D$2:$D$49,0)</f>
        <v>1</v>
      </c>
      <c r="L223" s="5">
        <f>_xlfn.XLOOKUP(D223,products!$A$2:$A$49,products!$E$2:$E$49,0)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_xlfn.XLOOKUP(orders!C224,customers!$A$1:$A$1001,customers!$G$1:$G$1001,0)</f>
        <v>United States</v>
      </c>
      <c r="I224" t="str">
        <f>_xlfn.XLOOKUP(D224,products!$A$2:$A$49,products!$B$2:$B$49,0)</f>
        <v>Lib</v>
      </c>
      <c r="J224" t="str">
        <f>_xlfn.XLOOKUP(D224,products!$A$2:$A$49,products!$C$2:$C$49,0)</f>
        <v>D</v>
      </c>
      <c r="K224" s="4">
        <f>_xlfn.XLOOKUP(D224,products!$A$2:$A$49,products!$D$2:$D$49,0)</f>
        <v>0.5</v>
      </c>
      <c r="L224" s="5">
        <f>_xlfn.XLOOKUP(D224,products!$A$2:$A$49,products!$E$2:$E$49,0)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_xlfn.XLOOKUP(orders!C225,customers!$A$1:$A$1001,customers!$G$1:$G$1001,0)</f>
        <v>United States</v>
      </c>
      <c r="I225" t="str">
        <f>_xlfn.XLOOKUP(D225,products!$A$2:$A$49,products!$B$2:$B$49,0)</f>
        <v>Exc</v>
      </c>
      <c r="J225" t="str">
        <f>_xlfn.XLOOKUP(D225,products!$A$2:$A$49,products!$C$2:$C$49,0)</f>
        <v>L</v>
      </c>
      <c r="K225" s="4">
        <f>_xlfn.XLOOKUP(D225,products!$A$2:$A$49,products!$D$2:$D$49,0)</f>
        <v>1</v>
      </c>
      <c r="L225" s="5">
        <f>_xlfn.XLOOKUP(D225,products!$A$2:$A$49,products!$E$2:$E$49,0)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_xlfn.XLOOKUP(orders!C226,customers!$A$1:$A$1001,customers!$G$1:$G$1001,0)</f>
        <v>United States</v>
      </c>
      <c r="I226" t="str">
        <f>_xlfn.XLOOKUP(D226,products!$A$2:$A$49,products!$B$2:$B$49,0)</f>
        <v>Lib</v>
      </c>
      <c r="J226" t="str">
        <f>_xlfn.XLOOKUP(D226,products!$A$2:$A$49,products!$C$2:$C$49,0)</f>
        <v>D</v>
      </c>
      <c r="K226" s="4">
        <f>_xlfn.XLOOKUP(D226,products!$A$2:$A$49,products!$D$2:$D$49,0)</f>
        <v>2.5</v>
      </c>
      <c r="L226" s="5">
        <f>_xlfn.XLOOKUP(D226,products!$A$2:$A$49,products!$E$2:$E$49,0)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_xlfn.XLOOKUP(orders!C227,customers!$A$1:$A$1001,customers!$G$1:$G$1001,0)</f>
        <v>Ireland</v>
      </c>
      <c r="I227" t="str">
        <f>_xlfn.XLOOKUP(D227,products!$A$2:$A$49,products!$B$2:$B$49,0)</f>
        <v>Rob</v>
      </c>
      <c r="J227" t="str">
        <f>_xlfn.XLOOKUP(D227,products!$A$2:$A$49,products!$C$2:$C$49,0)</f>
        <v>L</v>
      </c>
      <c r="K227" s="4">
        <f>_xlfn.XLOOKUP(D227,products!$A$2:$A$49,products!$D$2:$D$49,0)</f>
        <v>0.2</v>
      </c>
      <c r="L227" s="5">
        <f>_xlfn.XLOOKUP(D227,products!$A$2:$A$49,products!$E$2:$E$49,0)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_xlfn.XLOOKUP(orders!C228,customers!$A$1:$A$1001,customers!$G$1:$G$1001,0)</f>
        <v>United States</v>
      </c>
      <c r="I228" t="str">
        <f>_xlfn.XLOOKUP(D228,products!$A$2:$A$49,products!$B$2:$B$49,0)</f>
        <v>Ara</v>
      </c>
      <c r="J228" t="str">
        <f>_xlfn.XLOOKUP(D228,products!$A$2:$A$49,products!$C$2:$C$49,0)</f>
        <v>M</v>
      </c>
      <c r="K228" s="4">
        <f>_xlfn.XLOOKUP(D228,products!$A$2:$A$49,products!$D$2:$D$49,0)</f>
        <v>2.5</v>
      </c>
      <c r="L228" s="5">
        <f>_xlfn.XLOOKUP(D228,products!$A$2:$A$49,products!$E$2:$E$49,0)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_xlfn.XLOOKUP(orders!C229,customers!$A$1:$A$1001,customers!$G$1:$G$1001,0)</f>
        <v>United Kingdom</v>
      </c>
      <c r="I229" t="str">
        <f>_xlfn.XLOOKUP(D229,products!$A$2:$A$49,products!$B$2:$B$49,0)</f>
        <v>Rob</v>
      </c>
      <c r="J229" t="str">
        <f>_xlfn.XLOOKUP(D229,products!$A$2:$A$49,products!$C$2:$C$49,0)</f>
        <v>D</v>
      </c>
      <c r="K229" s="4">
        <f>_xlfn.XLOOKUP(D229,products!$A$2:$A$49,products!$D$2:$D$49,0)</f>
        <v>0.2</v>
      </c>
      <c r="L229" s="5">
        <f>_xlfn.XLOOKUP(D229,products!$A$2:$A$49,products!$E$2:$E$49,0)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_xlfn.XLOOKUP(orders!C230,customers!$A$1:$A$1001,customers!$G$1:$G$1001,0)</f>
        <v>United States</v>
      </c>
      <c r="I230" t="str">
        <f>_xlfn.XLOOKUP(D230,products!$A$2:$A$49,products!$B$2:$B$49,0)</f>
        <v>Rob</v>
      </c>
      <c r="J230" t="str">
        <f>_xlfn.XLOOKUP(D230,products!$A$2:$A$49,products!$C$2:$C$49,0)</f>
        <v>L</v>
      </c>
      <c r="K230" s="4">
        <f>_xlfn.XLOOKUP(D230,products!$A$2:$A$49,products!$D$2:$D$49,0)</f>
        <v>0.2</v>
      </c>
      <c r="L230" s="5">
        <f>_xlfn.XLOOKUP(D230,products!$A$2:$A$49,products!$E$2:$E$49,0)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_xlfn.XLOOKUP(orders!C231,customers!$A$1:$A$1001,customers!$G$1:$G$1001,0)</f>
        <v>United States</v>
      </c>
      <c r="I231" t="str">
        <f>_xlfn.XLOOKUP(D231,products!$A$2:$A$49,products!$B$2:$B$49,0)</f>
        <v>Lib</v>
      </c>
      <c r="J231" t="str">
        <f>_xlfn.XLOOKUP(D231,products!$A$2:$A$49,products!$C$2:$C$49,0)</f>
        <v>M</v>
      </c>
      <c r="K231" s="4">
        <f>_xlfn.XLOOKUP(D231,products!$A$2:$A$49,products!$D$2:$D$49,0)</f>
        <v>0.2</v>
      </c>
      <c r="L231" s="5">
        <f>_xlfn.XLOOKUP(D231,products!$A$2:$A$49,products!$E$2:$E$49,0)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_xlfn.XLOOKUP(orders!C232,customers!$A$1:$A$1001,customers!$G$1:$G$1001,0)</f>
        <v>United States</v>
      </c>
      <c r="I232" t="str">
        <f>_xlfn.XLOOKUP(D232,products!$A$2:$A$49,products!$B$2:$B$49,0)</f>
        <v>Ara</v>
      </c>
      <c r="J232" t="str">
        <f>_xlfn.XLOOKUP(D232,products!$A$2:$A$49,products!$C$2:$C$49,0)</f>
        <v>M</v>
      </c>
      <c r="K232" s="4">
        <f>_xlfn.XLOOKUP(D232,products!$A$2:$A$49,products!$D$2:$D$49,0)</f>
        <v>2.5</v>
      </c>
      <c r="L232" s="5">
        <f>_xlfn.XLOOKUP(D232,products!$A$2:$A$49,products!$E$2:$E$49,0)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_xlfn.XLOOKUP(orders!C233,customers!$A$1:$A$1001,customers!$G$1:$G$1001,0)</f>
        <v>United States</v>
      </c>
      <c r="I233" t="str">
        <f>_xlfn.XLOOKUP(D233,products!$A$2:$A$49,products!$B$2:$B$49,0)</f>
        <v>Lib</v>
      </c>
      <c r="J233" t="str">
        <f>_xlfn.XLOOKUP(D233,products!$A$2:$A$49,products!$C$2:$C$49,0)</f>
        <v>M</v>
      </c>
      <c r="K233" s="4">
        <f>_xlfn.XLOOKUP(D233,products!$A$2:$A$49,products!$D$2:$D$49,0)</f>
        <v>0.2</v>
      </c>
      <c r="L233" s="5">
        <f>_xlfn.XLOOKUP(D233,products!$A$2:$A$49,products!$E$2:$E$49,0)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_xlfn.XLOOKUP(orders!C234,customers!$A$1:$A$1001,customers!$G$1:$G$1001,0)</f>
        <v>United Kingdom</v>
      </c>
      <c r="I234" t="str">
        <f>_xlfn.XLOOKUP(D234,products!$A$2:$A$49,products!$B$2:$B$49,0)</f>
        <v>Lib</v>
      </c>
      <c r="J234" t="str">
        <f>_xlfn.XLOOKUP(D234,products!$A$2:$A$49,products!$C$2:$C$49,0)</f>
        <v>L</v>
      </c>
      <c r="K234" s="4">
        <f>_xlfn.XLOOKUP(D234,products!$A$2:$A$49,products!$D$2:$D$49,0)</f>
        <v>0.2</v>
      </c>
      <c r="L234" s="5">
        <f>_xlfn.XLOOKUP(D234,products!$A$2:$A$49,products!$E$2:$E$49,0)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_xlfn.XLOOKUP(orders!C235,customers!$A$1:$A$1001,customers!$G$1:$G$1001,0)</f>
        <v>United States</v>
      </c>
      <c r="I235" t="str">
        <f>_xlfn.XLOOKUP(D235,products!$A$2:$A$49,products!$B$2:$B$49,0)</f>
        <v>Exc</v>
      </c>
      <c r="J235" t="str">
        <f>_xlfn.XLOOKUP(D235,products!$A$2:$A$49,products!$C$2:$C$49,0)</f>
        <v>M</v>
      </c>
      <c r="K235" s="4">
        <f>_xlfn.XLOOKUP(D235,products!$A$2:$A$49,products!$D$2:$D$49,0)</f>
        <v>0.2</v>
      </c>
      <c r="L235" s="5">
        <f>_xlfn.XLOOKUP(D235,products!$A$2:$A$49,products!$E$2:$E$49,0)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_xlfn.XLOOKUP(orders!C236,customers!$A$1:$A$1001,customers!$G$1:$G$1001,0)</f>
        <v>United States</v>
      </c>
      <c r="I236" t="str">
        <f>_xlfn.XLOOKUP(D236,products!$A$2:$A$49,products!$B$2:$B$49,0)</f>
        <v>Lib</v>
      </c>
      <c r="J236" t="str">
        <f>_xlfn.XLOOKUP(D236,products!$A$2:$A$49,products!$C$2:$C$49,0)</f>
        <v>L</v>
      </c>
      <c r="K236" s="4">
        <f>_xlfn.XLOOKUP(D236,products!$A$2:$A$49,products!$D$2:$D$49,0)</f>
        <v>2.5</v>
      </c>
      <c r="L236" s="5">
        <f>_xlfn.XLOOKUP(D236,products!$A$2:$A$49,products!$E$2:$E$49,0)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_xlfn.XLOOKUP(orders!C237,customers!$A$1:$A$1001,customers!$G$1:$G$1001,0)</f>
        <v>Ireland</v>
      </c>
      <c r="I237" t="str">
        <f>_xlfn.XLOOKUP(D237,products!$A$2:$A$49,products!$B$2:$B$49,0)</f>
        <v>Lib</v>
      </c>
      <c r="J237" t="str">
        <f>_xlfn.XLOOKUP(D237,products!$A$2:$A$49,products!$C$2:$C$49,0)</f>
        <v>L</v>
      </c>
      <c r="K237" s="4">
        <f>_xlfn.XLOOKUP(D237,products!$A$2:$A$49,products!$D$2:$D$49,0)</f>
        <v>2.5</v>
      </c>
      <c r="L237" s="5">
        <f>_xlfn.XLOOKUP(D237,products!$A$2:$A$49,products!$E$2:$E$49,0)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_xlfn.XLOOKUP(orders!C238,customers!$A$1:$A$1001,customers!$G$1:$G$1001,0)</f>
        <v>Ireland</v>
      </c>
      <c r="I238" t="str">
        <f>_xlfn.XLOOKUP(D238,products!$A$2:$A$49,products!$B$2:$B$49,0)</f>
        <v>Lib</v>
      </c>
      <c r="J238" t="str">
        <f>_xlfn.XLOOKUP(D238,products!$A$2:$A$49,products!$C$2:$C$49,0)</f>
        <v>D</v>
      </c>
      <c r="K238" s="4">
        <f>_xlfn.XLOOKUP(D238,products!$A$2:$A$49,products!$D$2:$D$49,0)</f>
        <v>2.5</v>
      </c>
      <c r="L238" s="5">
        <f>_xlfn.XLOOKUP(D238,products!$A$2:$A$49,products!$E$2:$E$49,0)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_xlfn.XLOOKUP(orders!C239,customers!$A$1:$A$1001,customers!$G$1:$G$1001,0)</f>
        <v>United States</v>
      </c>
      <c r="I239" t="str">
        <f>_xlfn.XLOOKUP(D239,products!$A$2:$A$49,products!$B$2:$B$49,0)</f>
        <v>Rob</v>
      </c>
      <c r="J239" t="str">
        <f>_xlfn.XLOOKUP(D239,products!$A$2:$A$49,products!$C$2:$C$49,0)</f>
        <v>L</v>
      </c>
      <c r="K239" s="4">
        <f>_xlfn.XLOOKUP(D239,products!$A$2:$A$49,products!$D$2:$D$49,0)</f>
        <v>0.2</v>
      </c>
      <c r="L239" s="5">
        <f>_xlfn.XLOOKUP(D239,products!$A$2:$A$49,products!$E$2:$E$49,0)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_xlfn.XLOOKUP(orders!C240,customers!$A$1:$A$1001,customers!$G$1:$G$1001,0)</f>
        <v>United States</v>
      </c>
      <c r="I240" t="str">
        <f>_xlfn.XLOOKUP(D240,products!$A$2:$A$49,products!$B$2:$B$49,0)</f>
        <v>Rob</v>
      </c>
      <c r="J240" t="str">
        <f>_xlfn.XLOOKUP(D240,products!$A$2:$A$49,products!$C$2:$C$49,0)</f>
        <v>M</v>
      </c>
      <c r="K240" s="4">
        <f>_xlfn.XLOOKUP(D240,products!$A$2:$A$49,products!$D$2:$D$49,0)</f>
        <v>2.5</v>
      </c>
      <c r="L240" s="5">
        <f>_xlfn.XLOOKUP(D240,products!$A$2:$A$49,products!$E$2:$E$49,0)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_xlfn.XLOOKUP(orders!C241,customers!$A$1:$A$1001,customers!$G$1:$G$1001,0)</f>
        <v>United States</v>
      </c>
      <c r="I241" t="str">
        <f>_xlfn.XLOOKUP(D241,products!$A$2:$A$49,products!$B$2:$B$49,0)</f>
        <v>Exc</v>
      </c>
      <c r="J241" t="str">
        <f>_xlfn.XLOOKUP(D241,products!$A$2:$A$49,products!$C$2:$C$49,0)</f>
        <v>L</v>
      </c>
      <c r="K241" s="4">
        <f>_xlfn.XLOOKUP(D241,products!$A$2:$A$49,products!$D$2:$D$49,0)</f>
        <v>1</v>
      </c>
      <c r="L241" s="5">
        <f>_xlfn.XLOOKUP(D241,products!$A$2:$A$49,products!$E$2:$E$49,0)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_xlfn.XLOOKUP(orders!C242,customers!$A$1:$A$1001,customers!$G$1:$G$1001,0)</f>
        <v>United States</v>
      </c>
      <c r="I242" t="str">
        <f>_xlfn.XLOOKUP(D242,products!$A$2:$A$49,products!$B$2:$B$49,0)</f>
        <v>Ara</v>
      </c>
      <c r="J242" t="str">
        <f>_xlfn.XLOOKUP(D242,products!$A$2:$A$49,products!$C$2:$C$49,0)</f>
        <v>M</v>
      </c>
      <c r="K242" s="4">
        <f>_xlfn.XLOOKUP(D242,products!$A$2:$A$49,products!$D$2:$D$49,0)</f>
        <v>2.5</v>
      </c>
      <c r="L242" s="5">
        <f>_xlfn.XLOOKUP(D242,products!$A$2:$A$49,products!$E$2:$E$49,0)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_xlfn.XLOOKUP(orders!C243,customers!$A$1:$A$1001,customers!$G$1:$G$1001,0)</f>
        <v>United States</v>
      </c>
      <c r="I243" t="str">
        <f>_xlfn.XLOOKUP(D243,products!$A$2:$A$49,products!$B$2:$B$49,0)</f>
        <v>Rob</v>
      </c>
      <c r="J243" t="str">
        <f>_xlfn.XLOOKUP(D243,products!$A$2:$A$49,products!$C$2:$C$49,0)</f>
        <v>M</v>
      </c>
      <c r="K243" s="4">
        <f>_xlfn.XLOOKUP(D243,products!$A$2:$A$49,products!$D$2:$D$49,0)</f>
        <v>2.5</v>
      </c>
      <c r="L243" s="5">
        <f>_xlfn.XLOOKUP(D243,products!$A$2:$A$49,products!$E$2:$E$49,0)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_xlfn.XLOOKUP(orders!C244,customers!$A$1:$A$1001,customers!$G$1:$G$1001,0)</f>
        <v>United States</v>
      </c>
      <c r="I244" t="str">
        <f>_xlfn.XLOOKUP(D244,products!$A$2:$A$49,products!$B$2:$B$49,0)</f>
        <v>Exc</v>
      </c>
      <c r="J244" t="str">
        <f>_xlfn.XLOOKUP(D244,products!$A$2:$A$49,products!$C$2:$C$49,0)</f>
        <v>D</v>
      </c>
      <c r="K244" s="4">
        <f>_xlfn.XLOOKUP(D244,products!$A$2:$A$49,products!$D$2:$D$49,0)</f>
        <v>1</v>
      </c>
      <c r="L244" s="5">
        <f>_xlfn.XLOOKUP(D244,products!$A$2:$A$49,products!$E$2:$E$49,0)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_xlfn.XLOOKUP(orders!C245,customers!$A$1:$A$1001,customers!$G$1:$G$1001,0)</f>
        <v>United States</v>
      </c>
      <c r="I245" t="str">
        <f>_xlfn.XLOOKUP(D245,products!$A$2:$A$49,products!$B$2:$B$49,0)</f>
        <v>Exc</v>
      </c>
      <c r="J245" t="str">
        <f>_xlfn.XLOOKUP(D245,products!$A$2:$A$49,products!$C$2:$C$49,0)</f>
        <v>D</v>
      </c>
      <c r="K245" s="4">
        <f>_xlfn.XLOOKUP(D245,products!$A$2:$A$49,products!$D$2:$D$49,0)</f>
        <v>0.5</v>
      </c>
      <c r="L245" s="5">
        <f>_xlfn.XLOOKUP(D245,products!$A$2:$A$49,products!$E$2:$E$49,0)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_xlfn.XLOOKUP(orders!C246,customers!$A$1:$A$1001,customers!$G$1:$G$1001,0)</f>
        <v>United States</v>
      </c>
      <c r="I246" t="str">
        <f>_xlfn.XLOOKUP(D246,products!$A$2:$A$49,products!$B$2:$B$49,0)</f>
        <v>Lib</v>
      </c>
      <c r="J246" t="str">
        <f>_xlfn.XLOOKUP(D246,products!$A$2:$A$49,products!$C$2:$C$49,0)</f>
        <v>M</v>
      </c>
      <c r="K246" s="4">
        <f>_xlfn.XLOOKUP(D246,products!$A$2:$A$49,products!$D$2:$D$49,0)</f>
        <v>2.5</v>
      </c>
      <c r="L246" s="5">
        <f>_xlfn.XLOOKUP(D246,products!$A$2:$A$49,products!$E$2:$E$49,0)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_xlfn.XLOOKUP(orders!C247,customers!$A$1:$A$1001,customers!$G$1:$G$1001,0)</f>
        <v>United States</v>
      </c>
      <c r="I247" t="str">
        <f>_xlfn.XLOOKUP(D247,products!$A$2:$A$49,products!$B$2:$B$49,0)</f>
        <v>Lib</v>
      </c>
      <c r="J247" t="str">
        <f>_xlfn.XLOOKUP(D247,products!$A$2:$A$49,products!$C$2:$C$49,0)</f>
        <v>L</v>
      </c>
      <c r="K247" s="4">
        <f>_xlfn.XLOOKUP(D247,products!$A$2:$A$49,products!$D$2:$D$49,0)</f>
        <v>0.2</v>
      </c>
      <c r="L247" s="5">
        <f>_xlfn.XLOOKUP(D247,products!$A$2:$A$49,products!$E$2:$E$49,0)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_xlfn.XLOOKUP(orders!C248,customers!$A$1:$A$1001,customers!$G$1:$G$1001,0)</f>
        <v>United Kingdom</v>
      </c>
      <c r="I248" t="str">
        <f>_xlfn.XLOOKUP(D248,products!$A$2:$A$49,products!$B$2:$B$49,0)</f>
        <v>Lib</v>
      </c>
      <c r="J248" t="str">
        <f>_xlfn.XLOOKUP(D248,products!$A$2:$A$49,products!$C$2:$C$49,0)</f>
        <v>D</v>
      </c>
      <c r="K248" s="4">
        <f>_xlfn.XLOOKUP(D248,products!$A$2:$A$49,products!$D$2:$D$49,0)</f>
        <v>1</v>
      </c>
      <c r="L248" s="5">
        <f>_xlfn.XLOOKUP(D248,products!$A$2:$A$49,products!$E$2:$E$49,0)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_xlfn.XLOOKUP(orders!C249,customers!$A$1:$A$1001,customers!$G$1:$G$1001,0)</f>
        <v>Ireland</v>
      </c>
      <c r="I249" t="str">
        <f>_xlfn.XLOOKUP(D249,products!$A$2:$A$49,products!$B$2:$B$49,0)</f>
        <v>Rob</v>
      </c>
      <c r="J249" t="str">
        <f>_xlfn.XLOOKUP(D249,products!$A$2:$A$49,products!$C$2:$C$49,0)</f>
        <v>L</v>
      </c>
      <c r="K249" s="4">
        <f>_xlfn.XLOOKUP(D249,products!$A$2:$A$49,products!$D$2:$D$49,0)</f>
        <v>0.2</v>
      </c>
      <c r="L249" s="5">
        <f>_xlfn.XLOOKUP(D249,products!$A$2:$A$49,products!$E$2:$E$49,0)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_xlfn.XLOOKUP(orders!C250,customers!$A$1:$A$1001,customers!$G$1:$G$1001,0)</f>
        <v>United States</v>
      </c>
      <c r="I250" t="str">
        <f>_xlfn.XLOOKUP(D250,products!$A$2:$A$49,products!$B$2:$B$49,0)</f>
        <v>Ara</v>
      </c>
      <c r="J250" t="str">
        <f>_xlfn.XLOOKUP(D250,products!$A$2:$A$49,products!$C$2:$C$49,0)</f>
        <v>D</v>
      </c>
      <c r="K250" s="4">
        <f>_xlfn.XLOOKUP(D250,products!$A$2:$A$49,products!$D$2:$D$49,0)</f>
        <v>1</v>
      </c>
      <c r="L250" s="5">
        <f>_xlfn.XLOOKUP(D250,products!$A$2:$A$49,products!$E$2:$E$49,0)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_xlfn.XLOOKUP(orders!C251,customers!$A$1:$A$1001,customers!$G$1:$G$1001,0)</f>
        <v>United States</v>
      </c>
      <c r="I251" t="str">
        <f>_xlfn.XLOOKUP(D251,products!$A$2:$A$49,products!$B$2:$B$49,0)</f>
        <v>Lib</v>
      </c>
      <c r="J251" t="str">
        <f>_xlfn.XLOOKUP(D251,products!$A$2:$A$49,products!$C$2:$C$49,0)</f>
        <v>L</v>
      </c>
      <c r="K251" s="4">
        <f>_xlfn.XLOOKUP(D251,products!$A$2:$A$49,products!$D$2:$D$49,0)</f>
        <v>1</v>
      </c>
      <c r="L251" s="5">
        <f>_xlfn.XLOOKUP(D251,products!$A$2:$A$49,products!$E$2:$E$49,0)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_xlfn.XLOOKUP(orders!C252,customers!$A$1:$A$1001,customers!$G$1:$G$1001,0)</f>
        <v>United States</v>
      </c>
      <c r="I252" t="str">
        <f>_xlfn.XLOOKUP(D252,products!$A$2:$A$49,products!$B$2:$B$49,0)</f>
        <v>Rob</v>
      </c>
      <c r="J252" t="str">
        <f>_xlfn.XLOOKUP(D252,products!$A$2:$A$49,products!$C$2:$C$49,0)</f>
        <v>M</v>
      </c>
      <c r="K252" s="4">
        <f>_xlfn.XLOOKUP(D252,products!$A$2:$A$49,products!$D$2:$D$49,0)</f>
        <v>0.2</v>
      </c>
      <c r="L252" s="5">
        <f>_xlfn.XLOOKUP(D252,products!$A$2:$A$49,products!$E$2:$E$49,0)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_xlfn.XLOOKUP(orders!C253,customers!$A$1:$A$1001,customers!$G$1:$G$1001,0)</f>
        <v>United States</v>
      </c>
      <c r="I253" t="str">
        <f>_xlfn.XLOOKUP(D253,products!$A$2:$A$49,products!$B$2:$B$49,0)</f>
        <v>Exc</v>
      </c>
      <c r="J253" t="str">
        <f>_xlfn.XLOOKUP(D253,products!$A$2:$A$49,products!$C$2:$C$49,0)</f>
        <v>M</v>
      </c>
      <c r="K253" s="4">
        <f>_xlfn.XLOOKUP(D253,products!$A$2:$A$49,products!$D$2:$D$49,0)</f>
        <v>1</v>
      </c>
      <c r="L253" s="5">
        <f>_xlfn.XLOOKUP(D253,products!$A$2:$A$49,products!$E$2:$E$49,0)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_xlfn.XLOOKUP(orders!C254,customers!$A$1:$A$1001,customers!$G$1:$G$1001,0)</f>
        <v>United States</v>
      </c>
      <c r="I254" t="str">
        <f>_xlfn.XLOOKUP(D254,products!$A$2:$A$49,products!$B$2:$B$49,0)</f>
        <v>Ara</v>
      </c>
      <c r="J254" t="str">
        <f>_xlfn.XLOOKUP(D254,products!$A$2:$A$49,products!$C$2:$C$49,0)</f>
        <v>D</v>
      </c>
      <c r="K254" s="4">
        <f>_xlfn.XLOOKUP(D254,products!$A$2:$A$49,products!$D$2:$D$49,0)</f>
        <v>1</v>
      </c>
      <c r="L254" s="5">
        <f>_xlfn.XLOOKUP(D254,products!$A$2:$A$49,products!$E$2:$E$49,0)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_xlfn.XLOOKUP(orders!C255,customers!$A$1:$A$1001,customers!$G$1:$G$1001,0)</f>
        <v>United States</v>
      </c>
      <c r="I255" t="str">
        <f>_xlfn.XLOOKUP(D255,products!$A$2:$A$49,products!$B$2:$B$49,0)</f>
        <v>Lib</v>
      </c>
      <c r="J255" t="str">
        <f>_xlfn.XLOOKUP(D255,products!$A$2:$A$49,products!$C$2:$C$49,0)</f>
        <v>M</v>
      </c>
      <c r="K255" s="4">
        <f>_xlfn.XLOOKUP(D255,products!$A$2:$A$49,products!$D$2:$D$49,0)</f>
        <v>1</v>
      </c>
      <c r="L255" s="5">
        <f>_xlfn.XLOOKUP(D255,products!$A$2:$A$49,products!$E$2:$E$49,0)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_xlfn.XLOOKUP(orders!C256,customers!$A$1:$A$1001,customers!$G$1:$G$1001,0)</f>
        <v>United Kingdom</v>
      </c>
      <c r="I256" t="str">
        <f>_xlfn.XLOOKUP(D256,products!$A$2:$A$49,products!$B$2:$B$49,0)</f>
        <v>Rob</v>
      </c>
      <c r="J256" t="str">
        <f>_xlfn.XLOOKUP(D256,products!$A$2:$A$49,products!$C$2:$C$49,0)</f>
        <v>L</v>
      </c>
      <c r="K256" s="4">
        <f>_xlfn.XLOOKUP(D256,products!$A$2:$A$49,products!$D$2:$D$49,0)</f>
        <v>0.5</v>
      </c>
      <c r="L256" s="5">
        <f>_xlfn.XLOOKUP(D256,products!$A$2:$A$49,products!$E$2:$E$49,0)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_xlfn.XLOOKUP(orders!C257,customers!$A$1:$A$1001,customers!$G$1:$G$1001,0)</f>
        <v>United States</v>
      </c>
      <c r="I257" t="str">
        <f>_xlfn.XLOOKUP(D257,products!$A$2:$A$49,products!$B$2:$B$49,0)</f>
        <v>Rob</v>
      </c>
      <c r="J257" t="str">
        <f>_xlfn.XLOOKUP(D257,products!$A$2:$A$49,products!$C$2:$C$49,0)</f>
        <v>L</v>
      </c>
      <c r="K257" s="4">
        <f>_xlfn.XLOOKUP(D257,products!$A$2:$A$49,products!$D$2:$D$49,0)</f>
        <v>0.5</v>
      </c>
      <c r="L257" s="5">
        <f>_xlfn.XLOOKUP(D257,products!$A$2:$A$49,products!$E$2:$E$49,0)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_xlfn.XLOOKUP(orders!C258,customers!$A$1:$A$1001,customers!$G$1:$G$1001,0)</f>
        <v>United States</v>
      </c>
      <c r="I258" t="str">
        <f>_xlfn.XLOOKUP(D258,products!$A$2:$A$49,products!$B$2:$B$49,0)</f>
        <v>Lib</v>
      </c>
      <c r="J258" t="str">
        <f>_xlfn.XLOOKUP(D258,products!$A$2:$A$49,products!$C$2:$C$49,0)</f>
        <v>M</v>
      </c>
      <c r="K258" s="4">
        <f>_xlfn.XLOOKUP(D258,products!$A$2:$A$49,products!$D$2:$D$49,0)</f>
        <v>0.5</v>
      </c>
      <c r="L258" s="5">
        <f>_xlfn.XLOOKUP(D258,products!$A$2:$A$49,products!$E$2:$E$49,0)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_xlfn.XLOOKUP(orders!C259,customers!$A$1:$A$1001,customers!$G$1:$G$1001,0)</f>
        <v>United States</v>
      </c>
      <c r="I259" t="str">
        <f>_xlfn.XLOOKUP(D259,products!$A$2:$A$49,products!$B$2:$B$49,0)</f>
        <v>Exc</v>
      </c>
      <c r="J259" t="str">
        <f>_xlfn.XLOOKUP(D259,products!$A$2:$A$49,products!$C$2:$C$49,0)</f>
        <v>D</v>
      </c>
      <c r="K259" s="4">
        <f>_xlfn.XLOOKUP(D259,products!$A$2:$A$49,products!$D$2:$D$49,0)</f>
        <v>2.5</v>
      </c>
      <c r="L259" s="5">
        <f>_xlfn.XLOOKUP(D259,products!$A$2:$A$49,products!$E$2:$E$49,0)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_xlfn.XLOOKUP(orders!C260,customers!$A$1:$A$1001,customers!$G$1:$G$1001,0)</f>
        <v>United States</v>
      </c>
      <c r="I260" t="str">
        <f>_xlfn.XLOOKUP(D260,products!$A$2:$A$49,products!$B$2:$B$49,0)</f>
        <v>Exc</v>
      </c>
      <c r="J260" t="str">
        <f>_xlfn.XLOOKUP(D260,products!$A$2:$A$49,products!$C$2:$C$49,0)</f>
        <v>D</v>
      </c>
      <c r="K260" s="4">
        <f>_xlfn.XLOOKUP(D260,products!$A$2:$A$49,products!$D$2:$D$49,0)</f>
        <v>2.5</v>
      </c>
      <c r="L260" s="5">
        <f>_xlfn.XLOOKUP(D260,products!$A$2:$A$49,products!$E$2:$E$49,0)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_xlfn.XLOOKUP(orders!C261,customers!$A$1:$A$1001,customers!$G$1:$G$1001,0)</f>
        <v>United Kingdom</v>
      </c>
      <c r="I261" t="str">
        <f>_xlfn.XLOOKUP(D261,products!$A$2:$A$49,products!$B$2:$B$49,0)</f>
        <v>Rob</v>
      </c>
      <c r="J261" t="str">
        <f>_xlfn.XLOOKUP(D261,products!$A$2:$A$49,products!$C$2:$C$49,0)</f>
        <v>M</v>
      </c>
      <c r="K261" s="4">
        <f>_xlfn.XLOOKUP(D261,products!$A$2:$A$49,products!$D$2:$D$49,0)</f>
        <v>0.2</v>
      </c>
      <c r="L261" s="5">
        <f>_xlfn.XLOOKUP(D261,products!$A$2:$A$49,products!$E$2:$E$49,0)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_xlfn.XLOOKUP(orders!C262,customers!$A$1:$A$1001,customers!$G$1:$G$1001,0)</f>
        <v>United States</v>
      </c>
      <c r="I262" t="str">
        <f>_xlfn.XLOOKUP(D262,products!$A$2:$A$49,products!$B$2:$B$49,0)</f>
        <v>Rob</v>
      </c>
      <c r="J262" t="str">
        <f>_xlfn.XLOOKUP(D262,products!$A$2:$A$49,products!$C$2:$C$49,0)</f>
        <v>L</v>
      </c>
      <c r="K262" s="4">
        <f>_xlfn.XLOOKUP(D262,products!$A$2:$A$49,products!$D$2:$D$49,0)</f>
        <v>2.5</v>
      </c>
      <c r="L262" s="5">
        <f>_xlfn.XLOOKUP(D262,products!$A$2:$A$49,products!$E$2:$E$49,0)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_xlfn.XLOOKUP(orders!C263,customers!$A$1:$A$1001,customers!$G$1:$G$1001,0)</f>
        <v>United States</v>
      </c>
      <c r="I263" t="str">
        <f>_xlfn.XLOOKUP(D263,products!$A$2:$A$49,products!$B$2:$B$49,0)</f>
        <v>Rob</v>
      </c>
      <c r="J263" t="str">
        <f>_xlfn.XLOOKUP(D263,products!$A$2:$A$49,products!$C$2:$C$49,0)</f>
        <v>L</v>
      </c>
      <c r="K263" s="4">
        <f>_xlfn.XLOOKUP(D263,products!$A$2:$A$49,products!$D$2:$D$49,0)</f>
        <v>1</v>
      </c>
      <c r="L263" s="5">
        <f>_xlfn.XLOOKUP(D263,products!$A$2:$A$49,products!$E$2:$E$49,0)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_xlfn.XLOOKUP(orders!C264,customers!$A$1:$A$1001,customers!$G$1:$G$1001,0)</f>
        <v>United States</v>
      </c>
      <c r="I264" t="str">
        <f>_xlfn.XLOOKUP(D264,products!$A$2:$A$49,products!$B$2:$B$49,0)</f>
        <v>Exc</v>
      </c>
      <c r="J264" t="str">
        <f>_xlfn.XLOOKUP(D264,products!$A$2:$A$49,products!$C$2:$C$49,0)</f>
        <v>M</v>
      </c>
      <c r="K264" s="4">
        <f>_xlfn.XLOOKUP(D264,products!$A$2:$A$49,products!$D$2:$D$49,0)</f>
        <v>1</v>
      </c>
      <c r="L264" s="5">
        <f>_xlfn.XLOOKUP(D264,products!$A$2:$A$49,products!$E$2:$E$49,0)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_xlfn.XLOOKUP(orders!C265,customers!$A$1:$A$1001,customers!$G$1:$G$1001,0)</f>
        <v>United States</v>
      </c>
      <c r="I265" t="str">
        <f>_xlfn.XLOOKUP(D265,products!$A$2:$A$49,products!$B$2:$B$49,0)</f>
        <v>Lib</v>
      </c>
      <c r="J265" t="str">
        <f>_xlfn.XLOOKUP(D265,products!$A$2:$A$49,products!$C$2:$C$49,0)</f>
        <v>M</v>
      </c>
      <c r="K265" s="4">
        <f>_xlfn.XLOOKUP(D265,products!$A$2:$A$49,products!$D$2:$D$49,0)</f>
        <v>2.5</v>
      </c>
      <c r="L265" s="5">
        <f>_xlfn.XLOOKUP(D265,products!$A$2:$A$49,products!$E$2:$E$49,0)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_xlfn.XLOOKUP(orders!C266,customers!$A$1:$A$1001,customers!$G$1:$G$1001,0)</f>
        <v>Ireland</v>
      </c>
      <c r="I266" t="str">
        <f>_xlfn.XLOOKUP(D266,products!$A$2:$A$49,products!$B$2:$B$49,0)</f>
        <v>Rob</v>
      </c>
      <c r="J266" t="str">
        <f>_xlfn.XLOOKUP(D266,products!$A$2:$A$49,products!$C$2:$C$49,0)</f>
        <v>L</v>
      </c>
      <c r="K266" s="4">
        <f>_xlfn.XLOOKUP(D266,products!$A$2:$A$49,products!$D$2:$D$49,0)</f>
        <v>1</v>
      </c>
      <c r="L266" s="5">
        <f>_xlfn.XLOOKUP(D266,products!$A$2:$A$49,products!$E$2:$E$49,0)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_xlfn.XLOOKUP(orders!C267,customers!$A$1:$A$1001,customers!$G$1:$G$1001,0)</f>
        <v>United States</v>
      </c>
      <c r="I267" t="str">
        <f>_xlfn.XLOOKUP(D267,products!$A$2:$A$49,products!$B$2:$B$49,0)</f>
        <v>Ara</v>
      </c>
      <c r="J267" t="str">
        <f>_xlfn.XLOOKUP(D267,products!$A$2:$A$49,products!$C$2:$C$49,0)</f>
        <v>D</v>
      </c>
      <c r="K267" s="4">
        <f>_xlfn.XLOOKUP(D267,products!$A$2:$A$49,products!$D$2:$D$49,0)</f>
        <v>0.5</v>
      </c>
      <c r="L267" s="5">
        <f>_xlfn.XLOOKUP(D267,products!$A$2:$A$49,products!$E$2:$E$49,0)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_xlfn.XLOOKUP(orders!C268,customers!$A$1:$A$1001,customers!$G$1:$G$1001,0)</f>
        <v>United Kingdom</v>
      </c>
      <c r="I268" t="str">
        <f>_xlfn.XLOOKUP(D268,products!$A$2:$A$49,products!$B$2:$B$49,0)</f>
        <v>Exc</v>
      </c>
      <c r="J268" t="str">
        <f>_xlfn.XLOOKUP(D268,products!$A$2:$A$49,products!$C$2:$C$49,0)</f>
        <v>D</v>
      </c>
      <c r="K268" s="4">
        <f>_xlfn.XLOOKUP(D268,products!$A$2:$A$49,products!$D$2:$D$49,0)</f>
        <v>1</v>
      </c>
      <c r="L268" s="5">
        <f>_xlfn.XLOOKUP(D268,products!$A$2:$A$49,products!$E$2:$E$49,0)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_xlfn.XLOOKUP(orders!C269,customers!$A$1:$A$1001,customers!$G$1:$G$1001,0)</f>
        <v>United States</v>
      </c>
      <c r="I269" t="str">
        <f>_xlfn.XLOOKUP(D269,products!$A$2:$A$49,products!$B$2:$B$49,0)</f>
        <v>Exc</v>
      </c>
      <c r="J269" t="str">
        <f>_xlfn.XLOOKUP(D269,products!$A$2:$A$49,products!$C$2:$C$49,0)</f>
        <v>D</v>
      </c>
      <c r="K269" s="4">
        <f>_xlfn.XLOOKUP(D269,products!$A$2:$A$49,products!$D$2:$D$49,0)</f>
        <v>0.2</v>
      </c>
      <c r="L269" s="5">
        <f>_xlfn.XLOOKUP(D269,products!$A$2:$A$49,products!$E$2:$E$49,0)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_xlfn.XLOOKUP(orders!C270,customers!$A$1:$A$1001,customers!$G$1:$G$1001,0)</f>
        <v>United States</v>
      </c>
      <c r="I270" t="str">
        <f>_xlfn.XLOOKUP(D270,products!$A$2:$A$49,products!$B$2:$B$49,0)</f>
        <v>Ara</v>
      </c>
      <c r="J270" t="str">
        <f>_xlfn.XLOOKUP(D270,products!$A$2:$A$49,products!$C$2:$C$49,0)</f>
        <v>D</v>
      </c>
      <c r="K270" s="4">
        <f>_xlfn.XLOOKUP(D270,products!$A$2:$A$49,products!$D$2:$D$49,0)</f>
        <v>1</v>
      </c>
      <c r="L270" s="5">
        <f>_xlfn.XLOOKUP(D270,products!$A$2:$A$49,products!$E$2:$E$49,0)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_xlfn.XLOOKUP(orders!C271,customers!$A$1:$A$1001,customers!$G$1:$G$1001,0)</f>
        <v>United States</v>
      </c>
      <c r="I271" t="str">
        <f>_xlfn.XLOOKUP(D271,products!$A$2:$A$49,products!$B$2:$B$49,0)</f>
        <v>Ara</v>
      </c>
      <c r="J271" t="str">
        <f>_xlfn.XLOOKUP(D271,products!$A$2:$A$49,products!$C$2:$C$49,0)</f>
        <v>D</v>
      </c>
      <c r="K271" s="4">
        <f>_xlfn.XLOOKUP(D271,products!$A$2:$A$49,products!$D$2:$D$49,0)</f>
        <v>0.2</v>
      </c>
      <c r="L271" s="5">
        <f>_xlfn.XLOOKUP(D271,products!$A$2:$A$49,products!$E$2:$E$49,0)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_xlfn.XLOOKUP(orders!C272,customers!$A$1:$A$1001,customers!$G$1:$G$1001,0)</f>
        <v>Ireland</v>
      </c>
      <c r="I272" t="str">
        <f>_xlfn.XLOOKUP(D272,products!$A$2:$A$49,products!$B$2:$B$49,0)</f>
        <v>Exc</v>
      </c>
      <c r="J272" t="str">
        <f>_xlfn.XLOOKUP(D272,products!$A$2:$A$49,products!$C$2:$C$49,0)</f>
        <v>D</v>
      </c>
      <c r="K272" s="4">
        <f>_xlfn.XLOOKUP(D272,products!$A$2:$A$49,products!$D$2:$D$49,0)</f>
        <v>0.5</v>
      </c>
      <c r="L272" s="5">
        <f>_xlfn.XLOOKUP(D272,products!$A$2:$A$49,products!$E$2:$E$49,0)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_xlfn.XLOOKUP(orders!C273,customers!$A$1:$A$1001,customers!$G$1:$G$1001,0)</f>
        <v>United States</v>
      </c>
      <c r="I273" t="str">
        <f>_xlfn.XLOOKUP(D273,products!$A$2:$A$49,products!$B$2:$B$49,0)</f>
        <v>Ara</v>
      </c>
      <c r="J273" t="str">
        <f>_xlfn.XLOOKUP(D273,products!$A$2:$A$49,products!$C$2:$C$49,0)</f>
        <v>D</v>
      </c>
      <c r="K273" s="4">
        <f>_xlfn.XLOOKUP(D273,products!$A$2:$A$49,products!$D$2:$D$49,0)</f>
        <v>0.2</v>
      </c>
      <c r="L273" s="5">
        <f>_xlfn.XLOOKUP(D273,products!$A$2:$A$49,products!$E$2:$E$49,0)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_xlfn.XLOOKUP(orders!C274,customers!$A$1:$A$1001,customers!$G$1:$G$1001,0)</f>
        <v>Ireland</v>
      </c>
      <c r="I274" t="str">
        <f>_xlfn.XLOOKUP(D274,products!$A$2:$A$49,products!$B$2:$B$49,0)</f>
        <v>Rob</v>
      </c>
      <c r="J274" t="str">
        <f>_xlfn.XLOOKUP(D274,products!$A$2:$A$49,products!$C$2:$C$49,0)</f>
        <v>L</v>
      </c>
      <c r="K274" s="4">
        <f>_xlfn.XLOOKUP(D274,products!$A$2:$A$49,products!$D$2:$D$49,0)</f>
        <v>1</v>
      </c>
      <c r="L274" s="5">
        <f>_xlfn.XLOOKUP(D274,products!$A$2:$A$49,products!$E$2:$E$49,0)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_xlfn.XLOOKUP(orders!C275,customers!$A$1:$A$1001,customers!$G$1:$G$1001,0)</f>
        <v>United States</v>
      </c>
      <c r="I275" t="str">
        <f>_xlfn.XLOOKUP(D275,products!$A$2:$A$49,products!$B$2:$B$49,0)</f>
        <v>Ara</v>
      </c>
      <c r="J275" t="str">
        <f>_xlfn.XLOOKUP(D275,products!$A$2:$A$49,products!$C$2:$C$49,0)</f>
        <v>L</v>
      </c>
      <c r="K275" s="4">
        <f>_xlfn.XLOOKUP(D275,products!$A$2:$A$49,products!$D$2:$D$49,0)</f>
        <v>0.2</v>
      </c>
      <c r="L275" s="5">
        <f>_xlfn.XLOOKUP(D275,products!$A$2:$A$49,products!$E$2:$E$49,0)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_xlfn.XLOOKUP(orders!C276,customers!$A$1:$A$1001,customers!$G$1:$G$1001,0)</f>
        <v>United States</v>
      </c>
      <c r="I276" t="str">
        <f>_xlfn.XLOOKUP(D276,products!$A$2:$A$49,products!$B$2:$B$49,0)</f>
        <v>Ara</v>
      </c>
      <c r="J276" t="str">
        <f>_xlfn.XLOOKUP(D276,products!$A$2:$A$49,products!$C$2:$C$49,0)</f>
        <v>M</v>
      </c>
      <c r="K276" s="4">
        <f>_xlfn.XLOOKUP(D276,products!$A$2:$A$49,products!$D$2:$D$49,0)</f>
        <v>2.5</v>
      </c>
      <c r="L276" s="5">
        <f>_xlfn.XLOOKUP(D276,products!$A$2:$A$49,products!$E$2:$E$49,0)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_xlfn.XLOOKUP(orders!C277,customers!$A$1:$A$1001,customers!$G$1:$G$1001,0)</f>
        <v>United States</v>
      </c>
      <c r="I277" t="str">
        <f>_xlfn.XLOOKUP(D277,products!$A$2:$A$49,products!$B$2:$B$49,0)</f>
        <v>Exc</v>
      </c>
      <c r="J277" t="str">
        <f>_xlfn.XLOOKUP(D277,products!$A$2:$A$49,products!$C$2:$C$49,0)</f>
        <v>L</v>
      </c>
      <c r="K277" s="4">
        <f>_xlfn.XLOOKUP(D277,products!$A$2:$A$49,products!$D$2:$D$49,0)</f>
        <v>2.5</v>
      </c>
      <c r="L277" s="5">
        <f>_xlfn.XLOOKUP(D277,products!$A$2:$A$49,products!$E$2:$E$49,0)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_xlfn.XLOOKUP(orders!C278,customers!$A$1:$A$1001,customers!$G$1:$G$1001,0)</f>
        <v>Ireland</v>
      </c>
      <c r="I278" t="str">
        <f>_xlfn.XLOOKUP(D278,products!$A$2:$A$49,products!$B$2:$B$49,0)</f>
        <v>Rob</v>
      </c>
      <c r="J278" t="str">
        <f>_xlfn.XLOOKUP(D278,products!$A$2:$A$49,products!$C$2:$C$49,0)</f>
        <v>L</v>
      </c>
      <c r="K278" s="4">
        <f>_xlfn.XLOOKUP(D278,products!$A$2:$A$49,products!$D$2:$D$49,0)</f>
        <v>2.5</v>
      </c>
      <c r="L278" s="5">
        <f>_xlfn.XLOOKUP(D278,products!$A$2:$A$49,products!$E$2:$E$49,0)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_xlfn.XLOOKUP(orders!C279,customers!$A$1:$A$1001,customers!$G$1:$G$1001,0)</f>
        <v>United States</v>
      </c>
      <c r="I279" t="str">
        <f>_xlfn.XLOOKUP(D279,products!$A$2:$A$49,products!$B$2:$B$49,0)</f>
        <v>Exc</v>
      </c>
      <c r="J279" t="str">
        <f>_xlfn.XLOOKUP(D279,products!$A$2:$A$49,products!$C$2:$C$49,0)</f>
        <v>L</v>
      </c>
      <c r="K279" s="4">
        <f>_xlfn.XLOOKUP(D279,products!$A$2:$A$49,products!$D$2:$D$49,0)</f>
        <v>1</v>
      </c>
      <c r="L279" s="5">
        <f>_xlfn.XLOOKUP(D279,products!$A$2:$A$49,products!$E$2:$E$49,0)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_xlfn.XLOOKUP(orders!C280,customers!$A$1:$A$1001,customers!$G$1:$G$1001,0)</f>
        <v>United States</v>
      </c>
      <c r="I280" t="str">
        <f>_xlfn.XLOOKUP(D280,products!$A$2:$A$49,products!$B$2:$B$49,0)</f>
        <v>Ara</v>
      </c>
      <c r="J280" t="str">
        <f>_xlfn.XLOOKUP(D280,products!$A$2:$A$49,products!$C$2:$C$49,0)</f>
        <v>L</v>
      </c>
      <c r="K280" s="4">
        <f>_xlfn.XLOOKUP(D280,products!$A$2:$A$49,products!$D$2:$D$49,0)</f>
        <v>0.2</v>
      </c>
      <c r="L280" s="5">
        <f>_xlfn.XLOOKUP(D280,products!$A$2:$A$49,products!$E$2:$E$49,0)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_xlfn.XLOOKUP(orders!C281,customers!$A$1:$A$1001,customers!$G$1:$G$1001,0)</f>
        <v>United States</v>
      </c>
      <c r="I281" t="str">
        <f>_xlfn.XLOOKUP(D281,products!$A$2:$A$49,products!$B$2:$B$49,0)</f>
        <v>Lib</v>
      </c>
      <c r="J281" t="str">
        <f>_xlfn.XLOOKUP(D281,products!$A$2:$A$49,products!$C$2:$C$49,0)</f>
        <v>M</v>
      </c>
      <c r="K281" s="4">
        <f>_xlfn.XLOOKUP(D281,products!$A$2:$A$49,products!$D$2:$D$49,0)</f>
        <v>2.5</v>
      </c>
      <c r="L281" s="5">
        <f>_xlfn.XLOOKUP(D281,products!$A$2:$A$49,products!$E$2:$E$49,0)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_xlfn.XLOOKUP(orders!C282,customers!$A$1:$A$1001,customers!$G$1:$G$1001,0)</f>
        <v>United States</v>
      </c>
      <c r="I282" t="str">
        <f>_xlfn.XLOOKUP(D282,products!$A$2:$A$49,products!$B$2:$B$49,0)</f>
        <v>Exc</v>
      </c>
      <c r="J282" t="str">
        <f>_xlfn.XLOOKUP(D282,products!$A$2:$A$49,products!$C$2:$C$49,0)</f>
        <v>M</v>
      </c>
      <c r="K282" s="4">
        <f>_xlfn.XLOOKUP(D282,products!$A$2:$A$49,products!$D$2:$D$49,0)</f>
        <v>0.5</v>
      </c>
      <c r="L282" s="5">
        <f>_xlfn.XLOOKUP(D282,products!$A$2:$A$49,products!$E$2:$E$49,0)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_xlfn.XLOOKUP(orders!C283,customers!$A$1:$A$1001,customers!$G$1:$G$1001,0)</f>
        <v>United States</v>
      </c>
      <c r="I283" t="str">
        <f>_xlfn.XLOOKUP(D283,products!$A$2:$A$49,products!$B$2:$B$49,0)</f>
        <v>Exc</v>
      </c>
      <c r="J283" t="str">
        <f>_xlfn.XLOOKUP(D283,products!$A$2:$A$49,products!$C$2:$C$49,0)</f>
        <v>L</v>
      </c>
      <c r="K283" s="4">
        <f>_xlfn.XLOOKUP(D283,products!$A$2:$A$49,products!$D$2:$D$49,0)</f>
        <v>1</v>
      </c>
      <c r="L283" s="5">
        <f>_xlfn.XLOOKUP(D283,products!$A$2:$A$49,products!$E$2:$E$49,0)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_xlfn.XLOOKUP(orders!C284,customers!$A$1:$A$1001,customers!$G$1:$G$1001,0)</f>
        <v>United Kingdom</v>
      </c>
      <c r="I284" t="str">
        <f>_xlfn.XLOOKUP(D284,products!$A$2:$A$49,products!$B$2:$B$49,0)</f>
        <v>Ara</v>
      </c>
      <c r="J284" t="str">
        <f>_xlfn.XLOOKUP(D284,products!$A$2:$A$49,products!$C$2:$C$49,0)</f>
        <v>L</v>
      </c>
      <c r="K284" s="4">
        <f>_xlfn.XLOOKUP(D284,products!$A$2:$A$49,products!$D$2:$D$49,0)</f>
        <v>0.5</v>
      </c>
      <c r="L284" s="5">
        <f>_xlfn.XLOOKUP(D284,products!$A$2:$A$49,products!$E$2:$E$49,0)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_xlfn.XLOOKUP(orders!C285,customers!$A$1:$A$1001,customers!$G$1:$G$1001,0)</f>
        <v>United Kingdom</v>
      </c>
      <c r="I285" t="str">
        <f>_xlfn.XLOOKUP(D285,products!$A$2:$A$49,products!$B$2:$B$49,0)</f>
        <v>Rob</v>
      </c>
      <c r="J285" t="str">
        <f>_xlfn.XLOOKUP(D285,products!$A$2:$A$49,products!$C$2:$C$49,0)</f>
        <v>D</v>
      </c>
      <c r="K285" s="4">
        <f>_xlfn.XLOOKUP(D285,products!$A$2:$A$49,products!$D$2:$D$49,0)</f>
        <v>0.5</v>
      </c>
      <c r="L285" s="5">
        <f>_xlfn.XLOOKUP(D285,products!$A$2:$A$49,products!$E$2:$E$49,0)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_xlfn.XLOOKUP(orders!C286,customers!$A$1:$A$1001,customers!$G$1:$G$1001,0)</f>
        <v>United States</v>
      </c>
      <c r="I286" t="str">
        <f>_xlfn.XLOOKUP(D286,products!$A$2:$A$49,products!$B$2:$B$49,0)</f>
        <v>Exc</v>
      </c>
      <c r="J286" t="str">
        <f>_xlfn.XLOOKUP(D286,products!$A$2:$A$49,products!$C$2:$C$49,0)</f>
        <v>M</v>
      </c>
      <c r="K286" s="4">
        <f>_xlfn.XLOOKUP(D286,products!$A$2:$A$49,products!$D$2:$D$49,0)</f>
        <v>2.5</v>
      </c>
      <c r="L286" s="5">
        <f>_xlfn.XLOOKUP(D286,products!$A$2:$A$49,products!$E$2:$E$49,0)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_xlfn.XLOOKUP(orders!C287,customers!$A$1:$A$1001,customers!$G$1:$G$1001,0)</f>
        <v>United States</v>
      </c>
      <c r="I287" t="str">
        <f>_xlfn.XLOOKUP(D287,products!$A$2:$A$49,products!$B$2:$B$49,0)</f>
        <v>Lib</v>
      </c>
      <c r="J287" t="str">
        <f>_xlfn.XLOOKUP(D287,products!$A$2:$A$49,products!$C$2:$C$49,0)</f>
        <v>L</v>
      </c>
      <c r="K287" s="4">
        <f>_xlfn.XLOOKUP(D287,products!$A$2:$A$49,products!$D$2:$D$49,0)</f>
        <v>2.5</v>
      </c>
      <c r="L287" s="5">
        <f>_xlfn.XLOOKUP(D287,products!$A$2:$A$49,products!$E$2:$E$49,0)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_xlfn.XLOOKUP(orders!C288,customers!$A$1:$A$1001,customers!$G$1:$G$1001,0)</f>
        <v>United States</v>
      </c>
      <c r="I288" t="str">
        <f>_xlfn.XLOOKUP(D288,products!$A$2:$A$49,products!$B$2:$B$49,0)</f>
        <v>Ara</v>
      </c>
      <c r="J288" t="str">
        <f>_xlfn.XLOOKUP(D288,products!$A$2:$A$49,products!$C$2:$C$49,0)</f>
        <v>M</v>
      </c>
      <c r="K288" s="4">
        <f>_xlfn.XLOOKUP(D288,products!$A$2:$A$49,products!$D$2:$D$49,0)</f>
        <v>0.2</v>
      </c>
      <c r="L288" s="5">
        <f>_xlfn.XLOOKUP(D288,products!$A$2:$A$49,products!$E$2:$E$49,0)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_xlfn.XLOOKUP(orders!C289,customers!$A$1:$A$1001,customers!$G$1:$G$1001,0)</f>
        <v>United States</v>
      </c>
      <c r="I289" t="str">
        <f>_xlfn.XLOOKUP(D289,products!$A$2:$A$49,products!$B$2:$B$49,0)</f>
        <v>Rob</v>
      </c>
      <c r="J289" t="str">
        <f>_xlfn.XLOOKUP(D289,products!$A$2:$A$49,products!$C$2:$C$49,0)</f>
        <v>L</v>
      </c>
      <c r="K289" s="4">
        <f>_xlfn.XLOOKUP(D289,products!$A$2:$A$49,products!$D$2:$D$49,0)</f>
        <v>0.2</v>
      </c>
      <c r="L289" s="5">
        <f>_xlfn.XLOOKUP(D289,products!$A$2:$A$49,products!$E$2:$E$49,0)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_xlfn.XLOOKUP(orders!C290,customers!$A$1:$A$1001,customers!$G$1:$G$1001,0)</f>
        <v>Ireland</v>
      </c>
      <c r="I290" t="str">
        <f>_xlfn.XLOOKUP(D290,products!$A$2:$A$49,products!$B$2:$B$49,0)</f>
        <v>Exc</v>
      </c>
      <c r="J290" t="str">
        <f>_xlfn.XLOOKUP(D290,products!$A$2:$A$49,products!$C$2:$C$49,0)</f>
        <v>M</v>
      </c>
      <c r="K290" s="4">
        <f>_xlfn.XLOOKUP(D290,products!$A$2:$A$49,products!$D$2:$D$49,0)</f>
        <v>0.5</v>
      </c>
      <c r="L290" s="5">
        <f>_xlfn.XLOOKUP(D290,products!$A$2:$A$49,products!$E$2:$E$49,0)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_xlfn.XLOOKUP(orders!C291,customers!$A$1:$A$1001,customers!$G$1:$G$1001,0)</f>
        <v>United States</v>
      </c>
      <c r="I291" t="str">
        <f>_xlfn.XLOOKUP(D291,products!$A$2:$A$49,products!$B$2:$B$49,0)</f>
        <v>Rob</v>
      </c>
      <c r="J291" t="str">
        <f>_xlfn.XLOOKUP(D291,products!$A$2:$A$49,products!$C$2:$C$49,0)</f>
        <v>D</v>
      </c>
      <c r="K291" s="4">
        <f>_xlfn.XLOOKUP(D291,products!$A$2:$A$49,products!$D$2:$D$49,0)</f>
        <v>0.2</v>
      </c>
      <c r="L291" s="5">
        <f>_xlfn.XLOOKUP(D291,products!$A$2:$A$49,products!$E$2:$E$49,0)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_xlfn.XLOOKUP(orders!C292,customers!$A$1:$A$1001,customers!$G$1:$G$1001,0)</f>
        <v>United States</v>
      </c>
      <c r="I292" t="str">
        <f>_xlfn.XLOOKUP(D292,products!$A$2:$A$49,products!$B$2:$B$49,0)</f>
        <v>Ara</v>
      </c>
      <c r="J292" t="str">
        <f>_xlfn.XLOOKUP(D292,products!$A$2:$A$49,products!$C$2:$C$49,0)</f>
        <v>D</v>
      </c>
      <c r="K292" s="4">
        <f>_xlfn.XLOOKUP(D292,products!$A$2:$A$49,products!$D$2:$D$49,0)</f>
        <v>1</v>
      </c>
      <c r="L292" s="5">
        <f>_xlfn.XLOOKUP(D292,products!$A$2:$A$49,products!$E$2:$E$49,0)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_xlfn.XLOOKUP(orders!C293,customers!$A$1:$A$1001,customers!$G$1:$G$1001,0)</f>
        <v>Ireland</v>
      </c>
      <c r="I293" t="str">
        <f>_xlfn.XLOOKUP(D293,products!$A$2:$A$49,products!$B$2:$B$49,0)</f>
        <v>Exc</v>
      </c>
      <c r="J293" t="str">
        <f>_xlfn.XLOOKUP(D293,products!$A$2:$A$49,products!$C$2:$C$49,0)</f>
        <v>M</v>
      </c>
      <c r="K293" s="4">
        <f>_xlfn.XLOOKUP(D293,products!$A$2:$A$49,products!$D$2:$D$49,0)</f>
        <v>0.5</v>
      </c>
      <c r="L293" s="5">
        <f>_xlfn.XLOOKUP(D293,products!$A$2:$A$49,products!$E$2:$E$49,0)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_xlfn.XLOOKUP(orders!C294,customers!$A$1:$A$1001,customers!$G$1:$G$1001,0)</f>
        <v>United States</v>
      </c>
      <c r="I294" t="str">
        <f>_xlfn.XLOOKUP(D294,products!$A$2:$A$49,products!$B$2:$B$49,0)</f>
        <v>Ara</v>
      </c>
      <c r="J294" t="str">
        <f>_xlfn.XLOOKUP(D294,products!$A$2:$A$49,products!$C$2:$C$49,0)</f>
        <v>D</v>
      </c>
      <c r="K294" s="4">
        <f>_xlfn.XLOOKUP(D294,products!$A$2:$A$49,products!$D$2:$D$49,0)</f>
        <v>0.5</v>
      </c>
      <c r="L294" s="5">
        <f>_xlfn.XLOOKUP(D294,products!$A$2:$A$49,products!$E$2:$E$49,0)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_xlfn.XLOOKUP(orders!C295,customers!$A$1:$A$1001,customers!$G$1:$G$1001,0)</f>
        <v>United States</v>
      </c>
      <c r="I295" t="str">
        <f>_xlfn.XLOOKUP(D295,products!$A$2:$A$49,products!$B$2:$B$49,0)</f>
        <v>Ara</v>
      </c>
      <c r="J295" t="str">
        <f>_xlfn.XLOOKUP(D295,products!$A$2:$A$49,products!$C$2:$C$49,0)</f>
        <v>D</v>
      </c>
      <c r="K295" s="4">
        <f>_xlfn.XLOOKUP(D295,products!$A$2:$A$49,products!$D$2:$D$49,0)</f>
        <v>0.5</v>
      </c>
      <c r="L295" s="5">
        <f>_xlfn.XLOOKUP(D295,products!$A$2:$A$49,products!$E$2:$E$49,0)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_xlfn.XLOOKUP(orders!C296,customers!$A$1:$A$1001,customers!$G$1:$G$1001,0)</f>
        <v>United States</v>
      </c>
      <c r="I296" t="str">
        <f>_xlfn.XLOOKUP(D296,products!$A$2:$A$49,products!$B$2:$B$49,0)</f>
        <v>Exc</v>
      </c>
      <c r="J296" t="str">
        <f>_xlfn.XLOOKUP(D296,products!$A$2:$A$49,products!$C$2:$C$49,0)</f>
        <v>L</v>
      </c>
      <c r="K296" s="4">
        <f>_xlfn.XLOOKUP(D296,products!$A$2:$A$49,products!$D$2:$D$49,0)</f>
        <v>1</v>
      </c>
      <c r="L296" s="5">
        <f>_xlfn.XLOOKUP(D296,products!$A$2:$A$49,products!$E$2:$E$49,0)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_xlfn.XLOOKUP(orders!C297,customers!$A$1:$A$1001,customers!$G$1:$G$1001,0)</f>
        <v>United States</v>
      </c>
      <c r="I297" t="str">
        <f>_xlfn.XLOOKUP(D297,products!$A$2:$A$49,products!$B$2:$B$49,0)</f>
        <v>Exc</v>
      </c>
      <c r="J297" t="str">
        <f>_xlfn.XLOOKUP(D297,products!$A$2:$A$49,products!$C$2:$C$49,0)</f>
        <v>M</v>
      </c>
      <c r="K297" s="4">
        <f>_xlfn.XLOOKUP(D297,products!$A$2:$A$49,products!$D$2:$D$49,0)</f>
        <v>1</v>
      </c>
      <c r="L297" s="5">
        <f>_xlfn.XLOOKUP(D297,products!$A$2:$A$49,products!$E$2:$E$49,0)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_xlfn.XLOOKUP(orders!C298,customers!$A$1:$A$1001,customers!$G$1:$G$1001,0)</f>
        <v>United States</v>
      </c>
      <c r="I298" t="str">
        <f>_xlfn.XLOOKUP(D298,products!$A$2:$A$49,products!$B$2:$B$49,0)</f>
        <v>Rob</v>
      </c>
      <c r="J298" t="str">
        <f>_xlfn.XLOOKUP(D298,products!$A$2:$A$49,products!$C$2:$C$49,0)</f>
        <v>M</v>
      </c>
      <c r="K298" s="4">
        <f>_xlfn.XLOOKUP(D298,products!$A$2:$A$49,products!$D$2:$D$49,0)</f>
        <v>0.5</v>
      </c>
      <c r="L298" s="5">
        <f>_xlfn.XLOOKUP(D298,products!$A$2:$A$49,products!$E$2:$E$49,0)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_xlfn.XLOOKUP(orders!C299,customers!$A$1:$A$1001,customers!$G$1:$G$1001,0)</f>
        <v>United States</v>
      </c>
      <c r="I299" t="str">
        <f>_xlfn.XLOOKUP(D299,products!$A$2:$A$49,products!$B$2:$B$49,0)</f>
        <v>Rob</v>
      </c>
      <c r="J299" t="str">
        <f>_xlfn.XLOOKUP(D299,products!$A$2:$A$49,products!$C$2:$C$49,0)</f>
        <v>D</v>
      </c>
      <c r="K299" s="4">
        <f>_xlfn.XLOOKUP(D299,products!$A$2:$A$49,products!$D$2:$D$49,0)</f>
        <v>0.5</v>
      </c>
      <c r="L299" s="5">
        <f>_xlfn.XLOOKUP(D299,products!$A$2:$A$49,products!$E$2:$E$49,0)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_xlfn.XLOOKUP(orders!C300,customers!$A$1:$A$1001,customers!$G$1:$G$1001,0)</f>
        <v>United States</v>
      </c>
      <c r="I300" t="str">
        <f>_xlfn.XLOOKUP(D300,products!$A$2:$A$49,products!$B$2:$B$49,0)</f>
        <v>Exc</v>
      </c>
      <c r="J300" t="str">
        <f>_xlfn.XLOOKUP(D300,products!$A$2:$A$49,products!$C$2:$C$49,0)</f>
        <v>L</v>
      </c>
      <c r="K300" s="4">
        <f>_xlfn.XLOOKUP(D300,products!$A$2:$A$49,products!$D$2:$D$49,0)</f>
        <v>0.2</v>
      </c>
      <c r="L300" s="5">
        <f>_xlfn.XLOOKUP(D300,products!$A$2:$A$49,products!$E$2:$E$49,0)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_xlfn.XLOOKUP(orders!C301,customers!$A$1:$A$1001,customers!$G$1:$G$1001,0)</f>
        <v>United States</v>
      </c>
      <c r="I301" t="str">
        <f>_xlfn.XLOOKUP(D301,products!$A$2:$A$49,products!$B$2:$B$49,0)</f>
        <v>Exc</v>
      </c>
      <c r="J301" t="str">
        <f>_xlfn.XLOOKUP(D301,products!$A$2:$A$49,products!$C$2:$C$49,0)</f>
        <v>L</v>
      </c>
      <c r="K301" s="4">
        <f>_xlfn.XLOOKUP(D301,products!$A$2:$A$49,products!$D$2:$D$49,0)</f>
        <v>2.5</v>
      </c>
      <c r="L301" s="5">
        <f>_xlfn.XLOOKUP(D301,products!$A$2:$A$49,products!$E$2:$E$49,0)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_xlfn.XLOOKUP(orders!C302,customers!$A$1:$A$1001,customers!$G$1:$G$1001,0)</f>
        <v>United States</v>
      </c>
      <c r="I302" t="str">
        <f>_xlfn.XLOOKUP(D302,products!$A$2:$A$49,products!$B$2:$B$49,0)</f>
        <v>Ara</v>
      </c>
      <c r="J302" t="str">
        <f>_xlfn.XLOOKUP(D302,products!$A$2:$A$49,products!$C$2:$C$49,0)</f>
        <v>L</v>
      </c>
      <c r="K302" s="4">
        <f>_xlfn.XLOOKUP(D302,products!$A$2:$A$49,products!$D$2:$D$49,0)</f>
        <v>1</v>
      </c>
      <c r="L302" s="5">
        <f>_xlfn.XLOOKUP(D302,products!$A$2:$A$49,products!$E$2:$E$49,0)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_xlfn.XLOOKUP(orders!C303,customers!$A$1:$A$1001,customers!$G$1:$G$1001,0)</f>
        <v>United States</v>
      </c>
      <c r="I303" t="str">
        <f>_xlfn.XLOOKUP(D303,products!$A$2:$A$49,products!$B$2:$B$49,0)</f>
        <v>Lib</v>
      </c>
      <c r="J303" t="str">
        <f>_xlfn.XLOOKUP(D303,products!$A$2:$A$49,products!$C$2:$C$49,0)</f>
        <v>D</v>
      </c>
      <c r="K303" s="4">
        <f>_xlfn.XLOOKUP(D303,products!$A$2:$A$49,products!$D$2:$D$49,0)</f>
        <v>0.2</v>
      </c>
      <c r="L303" s="5">
        <f>_xlfn.XLOOKUP(D303,products!$A$2:$A$49,products!$E$2:$E$49,0)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_xlfn.XLOOKUP(orders!C304,customers!$A$1:$A$1001,customers!$G$1:$G$1001,0)</f>
        <v>United States</v>
      </c>
      <c r="I304" t="str">
        <f>_xlfn.XLOOKUP(D304,products!$A$2:$A$49,products!$B$2:$B$49,0)</f>
        <v>Ara</v>
      </c>
      <c r="J304" t="str">
        <f>_xlfn.XLOOKUP(D304,products!$A$2:$A$49,products!$C$2:$C$49,0)</f>
        <v>M</v>
      </c>
      <c r="K304" s="4">
        <f>_xlfn.XLOOKUP(D304,products!$A$2:$A$49,products!$D$2:$D$49,0)</f>
        <v>0.5</v>
      </c>
      <c r="L304" s="5">
        <f>_xlfn.XLOOKUP(D304,products!$A$2:$A$49,products!$E$2:$E$49,0)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_xlfn.XLOOKUP(orders!C305,customers!$A$1:$A$1001,customers!$G$1:$G$1001,0)</f>
        <v>United States</v>
      </c>
      <c r="I305" t="str">
        <f>_xlfn.XLOOKUP(D305,products!$A$2:$A$49,products!$B$2:$B$49,0)</f>
        <v>Exc</v>
      </c>
      <c r="J305" t="str">
        <f>_xlfn.XLOOKUP(D305,products!$A$2:$A$49,products!$C$2:$C$49,0)</f>
        <v>D</v>
      </c>
      <c r="K305" s="4">
        <f>_xlfn.XLOOKUP(D305,products!$A$2:$A$49,products!$D$2:$D$49,0)</f>
        <v>2.5</v>
      </c>
      <c r="L305" s="5">
        <f>_xlfn.XLOOKUP(D305,products!$A$2:$A$49,products!$E$2:$E$49,0)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_xlfn.XLOOKUP(orders!C306,customers!$A$1:$A$1001,customers!$G$1:$G$1001,0)</f>
        <v>United States</v>
      </c>
      <c r="I306" t="str">
        <f>_xlfn.XLOOKUP(D306,products!$A$2:$A$49,products!$B$2:$B$49,0)</f>
        <v>Ara</v>
      </c>
      <c r="J306" t="str">
        <f>_xlfn.XLOOKUP(D306,products!$A$2:$A$49,products!$C$2:$C$49,0)</f>
        <v>L</v>
      </c>
      <c r="K306" s="4">
        <f>_xlfn.XLOOKUP(D306,products!$A$2:$A$49,products!$D$2:$D$49,0)</f>
        <v>0.2</v>
      </c>
      <c r="L306" s="5">
        <f>_xlfn.XLOOKUP(D306,products!$A$2:$A$49,products!$E$2:$E$49,0)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_xlfn.XLOOKUP(orders!C307,customers!$A$1:$A$1001,customers!$G$1:$G$1001,0)</f>
        <v>United Kingdom</v>
      </c>
      <c r="I307" t="str">
        <f>_xlfn.XLOOKUP(D307,products!$A$2:$A$49,products!$B$2:$B$49,0)</f>
        <v>Lib</v>
      </c>
      <c r="J307" t="str">
        <f>_xlfn.XLOOKUP(D307,products!$A$2:$A$49,products!$C$2:$C$49,0)</f>
        <v>M</v>
      </c>
      <c r="K307" s="4">
        <f>_xlfn.XLOOKUP(D307,products!$A$2:$A$49,products!$D$2:$D$49,0)</f>
        <v>0.2</v>
      </c>
      <c r="L307" s="5">
        <f>_xlfn.XLOOKUP(D307,products!$A$2:$A$49,products!$E$2:$E$49,0)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_xlfn.XLOOKUP(orders!C308,customers!$A$1:$A$1001,customers!$G$1:$G$1001,0)</f>
        <v>United States</v>
      </c>
      <c r="I308" t="str">
        <f>_xlfn.XLOOKUP(D308,products!$A$2:$A$49,products!$B$2:$B$49,0)</f>
        <v>Rob</v>
      </c>
      <c r="J308" t="str">
        <f>_xlfn.XLOOKUP(D308,products!$A$2:$A$49,products!$C$2:$C$49,0)</f>
        <v>M</v>
      </c>
      <c r="K308" s="4">
        <f>_xlfn.XLOOKUP(D308,products!$A$2:$A$49,products!$D$2:$D$49,0)</f>
        <v>0.2</v>
      </c>
      <c r="L308" s="5">
        <f>_xlfn.XLOOKUP(D308,products!$A$2:$A$49,products!$E$2:$E$49,0)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_xlfn.XLOOKUP(orders!C309,customers!$A$1:$A$1001,customers!$G$1:$G$1001,0)</f>
        <v>United States</v>
      </c>
      <c r="I309" t="str">
        <f>_xlfn.XLOOKUP(D309,products!$A$2:$A$49,products!$B$2:$B$49,0)</f>
        <v>Ara</v>
      </c>
      <c r="J309" t="str">
        <f>_xlfn.XLOOKUP(D309,products!$A$2:$A$49,products!$C$2:$C$49,0)</f>
        <v>M</v>
      </c>
      <c r="K309" s="4">
        <f>_xlfn.XLOOKUP(D309,products!$A$2:$A$49,products!$D$2:$D$49,0)</f>
        <v>1</v>
      </c>
      <c r="L309" s="5">
        <f>_xlfn.XLOOKUP(D309,products!$A$2:$A$49,products!$E$2:$E$49,0)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_xlfn.XLOOKUP(orders!C310,customers!$A$1:$A$1001,customers!$G$1:$G$1001,0)</f>
        <v>United Kingdom</v>
      </c>
      <c r="I310" t="str">
        <f>_xlfn.XLOOKUP(D310,products!$A$2:$A$49,products!$B$2:$B$49,0)</f>
        <v>Ara</v>
      </c>
      <c r="J310" t="str">
        <f>_xlfn.XLOOKUP(D310,products!$A$2:$A$49,products!$C$2:$C$49,0)</f>
        <v>M</v>
      </c>
      <c r="K310" s="4">
        <f>_xlfn.XLOOKUP(D310,products!$A$2:$A$49,products!$D$2:$D$49,0)</f>
        <v>1</v>
      </c>
      <c r="L310" s="5">
        <f>_xlfn.XLOOKUP(D310,products!$A$2:$A$49,products!$E$2:$E$49,0)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_xlfn.XLOOKUP(orders!C311,customers!$A$1:$A$1001,customers!$G$1:$G$1001,0)</f>
        <v>United States</v>
      </c>
      <c r="I311" t="str">
        <f>_xlfn.XLOOKUP(D311,products!$A$2:$A$49,products!$B$2:$B$49,0)</f>
        <v>Lib</v>
      </c>
      <c r="J311" t="str">
        <f>_xlfn.XLOOKUP(D311,products!$A$2:$A$49,products!$C$2:$C$49,0)</f>
        <v>M</v>
      </c>
      <c r="K311" s="4">
        <f>_xlfn.XLOOKUP(D311,products!$A$2:$A$49,products!$D$2:$D$49,0)</f>
        <v>0.2</v>
      </c>
      <c r="L311" s="5">
        <f>_xlfn.XLOOKUP(D311,products!$A$2:$A$49,products!$E$2:$E$49,0)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_xlfn.XLOOKUP(orders!C312,customers!$A$1:$A$1001,customers!$G$1:$G$1001,0)</f>
        <v>Ireland</v>
      </c>
      <c r="I312" t="str">
        <f>_xlfn.XLOOKUP(D312,products!$A$2:$A$49,products!$B$2:$B$49,0)</f>
        <v>Exc</v>
      </c>
      <c r="J312" t="str">
        <f>_xlfn.XLOOKUP(D312,products!$A$2:$A$49,products!$C$2:$C$49,0)</f>
        <v>L</v>
      </c>
      <c r="K312" s="4">
        <f>_xlfn.XLOOKUP(D312,products!$A$2:$A$49,products!$D$2:$D$49,0)</f>
        <v>1</v>
      </c>
      <c r="L312" s="5">
        <f>_xlfn.XLOOKUP(D312,products!$A$2:$A$49,products!$E$2:$E$49,0)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_xlfn.XLOOKUP(orders!C313,customers!$A$1:$A$1001,customers!$G$1:$G$1001,0)</f>
        <v>United States</v>
      </c>
      <c r="I313" t="str">
        <f>_xlfn.XLOOKUP(D313,products!$A$2:$A$49,products!$B$2:$B$49,0)</f>
        <v>Exc</v>
      </c>
      <c r="J313" t="str">
        <f>_xlfn.XLOOKUP(D313,products!$A$2:$A$49,products!$C$2:$C$49,0)</f>
        <v>M</v>
      </c>
      <c r="K313" s="4">
        <f>_xlfn.XLOOKUP(D313,products!$A$2:$A$49,products!$D$2:$D$49,0)</f>
        <v>2.5</v>
      </c>
      <c r="L313" s="5">
        <f>_xlfn.XLOOKUP(D313,products!$A$2:$A$49,products!$E$2:$E$49,0)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_xlfn.XLOOKUP(orders!C314,customers!$A$1:$A$1001,customers!$G$1:$G$1001,0)</f>
        <v>United States</v>
      </c>
      <c r="I314" t="str">
        <f>_xlfn.XLOOKUP(D314,products!$A$2:$A$49,products!$B$2:$B$49,0)</f>
        <v>Rob</v>
      </c>
      <c r="J314" t="str">
        <f>_xlfn.XLOOKUP(D314,products!$A$2:$A$49,products!$C$2:$C$49,0)</f>
        <v>M</v>
      </c>
      <c r="K314" s="4">
        <f>_xlfn.XLOOKUP(D314,products!$A$2:$A$49,products!$D$2:$D$49,0)</f>
        <v>0.5</v>
      </c>
      <c r="L314" s="5">
        <f>_xlfn.XLOOKUP(D314,products!$A$2:$A$49,products!$E$2:$E$49,0)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_xlfn.XLOOKUP(orders!C315,customers!$A$1:$A$1001,customers!$G$1:$G$1001,0)</f>
        <v>United Kingdom</v>
      </c>
      <c r="I315" t="str">
        <f>_xlfn.XLOOKUP(D315,products!$A$2:$A$49,products!$B$2:$B$49,0)</f>
        <v>Rob</v>
      </c>
      <c r="J315" t="str">
        <f>_xlfn.XLOOKUP(D315,products!$A$2:$A$49,products!$C$2:$C$49,0)</f>
        <v>M</v>
      </c>
      <c r="K315" s="4">
        <f>_xlfn.XLOOKUP(D315,products!$A$2:$A$49,products!$D$2:$D$49,0)</f>
        <v>1</v>
      </c>
      <c r="L315" s="5">
        <f>_xlfn.XLOOKUP(D315,products!$A$2:$A$49,products!$E$2:$E$49,0)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_xlfn.XLOOKUP(orders!C316,customers!$A$1:$A$1001,customers!$G$1:$G$1001,0)</f>
        <v>United States</v>
      </c>
      <c r="I316" t="str">
        <f>_xlfn.XLOOKUP(D316,products!$A$2:$A$49,products!$B$2:$B$49,0)</f>
        <v>Rob</v>
      </c>
      <c r="J316" t="str">
        <f>_xlfn.XLOOKUP(D316,products!$A$2:$A$49,products!$C$2:$C$49,0)</f>
        <v>D</v>
      </c>
      <c r="K316" s="4">
        <f>_xlfn.XLOOKUP(D316,products!$A$2:$A$49,products!$D$2:$D$49,0)</f>
        <v>1</v>
      </c>
      <c r="L316" s="5">
        <f>_xlfn.XLOOKUP(D316,products!$A$2:$A$49,products!$E$2:$E$49,0)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_xlfn.XLOOKUP(orders!C317,customers!$A$1:$A$1001,customers!$G$1:$G$1001,0)</f>
        <v>United States</v>
      </c>
      <c r="I317" t="str">
        <f>_xlfn.XLOOKUP(D317,products!$A$2:$A$49,products!$B$2:$B$49,0)</f>
        <v>Exc</v>
      </c>
      <c r="J317" t="str">
        <f>_xlfn.XLOOKUP(D317,products!$A$2:$A$49,products!$C$2:$C$49,0)</f>
        <v>L</v>
      </c>
      <c r="K317" s="4">
        <f>_xlfn.XLOOKUP(D317,products!$A$2:$A$49,products!$D$2:$D$49,0)</f>
        <v>2.5</v>
      </c>
      <c r="L317" s="5">
        <f>_xlfn.XLOOKUP(D317,products!$A$2:$A$49,products!$E$2:$E$49,0)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_xlfn.XLOOKUP(orders!C318,customers!$A$1:$A$1001,customers!$G$1:$G$1001,0)</f>
        <v>Ireland</v>
      </c>
      <c r="I318" t="str">
        <f>_xlfn.XLOOKUP(D318,products!$A$2:$A$49,products!$B$2:$B$49,0)</f>
        <v>Exc</v>
      </c>
      <c r="J318" t="str">
        <f>_xlfn.XLOOKUP(D318,products!$A$2:$A$49,products!$C$2:$C$49,0)</f>
        <v>L</v>
      </c>
      <c r="K318" s="4">
        <f>_xlfn.XLOOKUP(D318,products!$A$2:$A$49,products!$D$2:$D$49,0)</f>
        <v>2.5</v>
      </c>
      <c r="L318" s="5">
        <f>_xlfn.XLOOKUP(D318,products!$A$2:$A$49,products!$E$2:$E$49,0)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_xlfn.XLOOKUP(orders!C319,customers!$A$1:$A$1001,customers!$G$1:$G$1001,0)</f>
        <v>United States</v>
      </c>
      <c r="I319" t="str">
        <f>_xlfn.XLOOKUP(D319,products!$A$2:$A$49,products!$B$2:$B$49,0)</f>
        <v>Exc</v>
      </c>
      <c r="J319" t="str">
        <f>_xlfn.XLOOKUP(D319,products!$A$2:$A$49,products!$C$2:$C$49,0)</f>
        <v>D</v>
      </c>
      <c r="K319" s="4">
        <f>_xlfn.XLOOKUP(D319,products!$A$2:$A$49,products!$D$2:$D$49,0)</f>
        <v>0.5</v>
      </c>
      <c r="L319" s="5">
        <f>_xlfn.XLOOKUP(D319,products!$A$2:$A$49,products!$E$2:$E$49,0)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_xlfn.XLOOKUP(orders!C320,customers!$A$1:$A$1001,customers!$G$1:$G$1001,0)</f>
        <v>United States</v>
      </c>
      <c r="I320" t="str">
        <f>_xlfn.XLOOKUP(D320,products!$A$2:$A$49,products!$B$2:$B$49,0)</f>
        <v>Ara</v>
      </c>
      <c r="J320" t="str">
        <f>_xlfn.XLOOKUP(D320,products!$A$2:$A$49,products!$C$2:$C$49,0)</f>
        <v>M</v>
      </c>
      <c r="K320" s="4">
        <f>_xlfn.XLOOKUP(D320,products!$A$2:$A$49,products!$D$2:$D$49,0)</f>
        <v>2.5</v>
      </c>
      <c r="L320" s="5">
        <f>_xlfn.XLOOKUP(D320,products!$A$2:$A$49,products!$E$2:$E$49,0)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_xlfn.XLOOKUP(orders!C321,customers!$A$1:$A$1001,customers!$G$1:$G$1001,0)</f>
        <v>United States</v>
      </c>
      <c r="I321" t="str">
        <f>_xlfn.XLOOKUP(D321,products!$A$2:$A$49,products!$B$2:$B$49,0)</f>
        <v>Exc</v>
      </c>
      <c r="J321" t="str">
        <f>_xlfn.XLOOKUP(D321,products!$A$2:$A$49,products!$C$2:$C$49,0)</f>
        <v>M</v>
      </c>
      <c r="K321" s="4">
        <f>_xlfn.XLOOKUP(D321,products!$A$2:$A$49,products!$D$2:$D$49,0)</f>
        <v>0.2</v>
      </c>
      <c r="L321" s="5">
        <f>_xlfn.XLOOKUP(D321,products!$A$2:$A$49,products!$E$2:$E$49,0)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_xlfn.XLOOKUP(orders!C322,customers!$A$1:$A$1001,customers!$G$1:$G$1001,0)</f>
        <v>United States</v>
      </c>
      <c r="I322" t="str">
        <f>_xlfn.XLOOKUP(D322,products!$A$2:$A$49,products!$B$2:$B$49,0)</f>
        <v>Ara</v>
      </c>
      <c r="J322" t="str">
        <f>_xlfn.XLOOKUP(D322,products!$A$2:$A$49,products!$C$2:$C$49,0)</f>
        <v>L</v>
      </c>
      <c r="K322" s="4">
        <f>_xlfn.XLOOKUP(D322,products!$A$2:$A$49,products!$D$2:$D$49,0)</f>
        <v>0.2</v>
      </c>
      <c r="L322" s="5">
        <f>_xlfn.XLOOKUP(D322,products!$A$2:$A$49,products!$E$2:$E$49,0)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_xlfn.XLOOKUP(orders!C323,customers!$A$1:$A$1001,customers!$G$1:$G$1001,0)</f>
        <v>Ireland</v>
      </c>
      <c r="I323" t="str">
        <f>_xlfn.XLOOKUP(D323,products!$A$2:$A$49,products!$B$2:$B$49,0)</f>
        <v>Ara</v>
      </c>
      <c r="J323" t="str">
        <f>_xlfn.XLOOKUP(D323,products!$A$2:$A$49,products!$C$2:$C$49,0)</f>
        <v>M</v>
      </c>
      <c r="K323" s="4">
        <f>_xlfn.XLOOKUP(D323,products!$A$2:$A$49,products!$D$2:$D$49,0)</f>
        <v>0.2</v>
      </c>
      <c r="L323" s="5">
        <f>_xlfn.XLOOKUP(D323,products!$A$2:$A$49,products!$E$2:$E$49,0)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_xlfn.XLOOKUP(orders!C324,customers!$A$1:$A$1001,customers!$G$1:$G$1001,0)</f>
        <v>Ireland</v>
      </c>
      <c r="I324" t="str">
        <f>_xlfn.XLOOKUP(D324,products!$A$2:$A$49,products!$B$2:$B$49,0)</f>
        <v>Lib</v>
      </c>
      <c r="J324" t="str">
        <f>_xlfn.XLOOKUP(D324,products!$A$2:$A$49,products!$C$2:$C$49,0)</f>
        <v>D</v>
      </c>
      <c r="K324" s="4">
        <f>_xlfn.XLOOKUP(D324,products!$A$2:$A$49,products!$D$2:$D$49,0)</f>
        <v>0.5</v>
      </c>
      <c r="L324" s="5">
        <f>_xlfn.XLOOKUP(D324,products!$A$2:$A$49,products!$E$2:$E$49,0)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_xlfn.XLOOKUP(orders!C325,customers!$A$1:$A$1001,customers!$G$1:$G$1001,0)</f>
        <v>United States</v>
      </c>
      <c r="I325" t="str">
        <f>_xlfn.XLOOKUP(D325,products!$A$2:$A$49,products!$B$2:$B$49,0)</f>
        <v>Exc</v>
      </c>
      <c r="J325" t="str">
        <f>_xlfn.XLOOKUP(D325,products!$A$2:$A$49,products!$C$2:$C$49,0)</f>
        <v>D</v>
      </c>
      <c r="K325" s="4">
        <f>_xlfn.XLOOKUP(D325,products!$A$2:$A$49,products!$D$2:$D$49,0)</f>
        <v>0.2</v>
      </c>
      <c r="L325" s="5">
        <f>_xlfn.XLOOKUP(D325,products!$A$2:$A$49,products!$E$2:$E$49,0)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_xlfn.XLOOKUP(orders!C326,customers!$A$1:$A$1001,customers!$G$1:$G$1001,0)</f>
        <v>United States</v>
      </c>
      <c r="I326" t="str">
        <f>_xlfn.XLOOKUP(D326,products!$A$2:$A$49,products!$B$2:$B$49,0)</f>
        <v>Exc</v>
      </c>
      <c r="J326" t="str">
        <f>_xlfn.XLOOKUP(D326,products!$A$2:$A$49,products!$C$2:$C$49,0)</f>
        <v>M</v>
      </c>
      <c r="K326" s="4">
        <f>_xlfn.XLOOKUP(D326,products!$A$2:$A$49,products!$D$2:$D$49,0)</f>
        <v>1</v>
      </c>
      <c r="L326" s="5">
        <f>_xlfn.XLOOKUP(D326,products!$A$2:$A$49,products!$E$2:$E$49,0)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_xlfn.XLOOKUP(orders!C327,customers!$A$1:$A$1001,customers!$G$1:$G$1001,0)</f>
        <v>United States</v>
      </c>
      <c r="I327" t="str">
        <f>_xlfn.XLOOKUP(D327,products!$A$2:$A$49,products!$B$2:$B$49,0)</f>
        <v>Ara</v>
      </c>
      <c r="J327" t="str">
        <f>_xlfn.XLOOKUP(D327,products!$A$2:$A$49,products!$C$2:$C$49,0)</f>
        <v>L</v>
      </c>
      <c r="K327" s="4">
        <f>_xlfn.XLOOKUP(D327,products!$A$2:$A$49,products!$D$2:$D$49,0)</f>
        <v>2.5</v>
      </c>
      <c r="L327" s="5">
        <f>_xlfn.XLOOKUP(D327,products!$A$2:$A$49,products!$E$2:$E$49,0)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_xlfn.XLOOKUP(orders!C328,customers!$A$1:$A$1001,customers!$G$1:$G$1001,0)</f>
        <v>United States</v>
      </c>
      <c r="I328" t="str">
        <f>_xlfn.XLOOKUP(D328,products!$A$2:$A$49,products!$B$2:$B$49,0)</f>
        <v>Rob</v>
      </c>
      <c r="J328" t="str">
        <f>_xlfn.XLOOKUP(D328,products!$A$2:$A$49,products!$C$2:$C$49,0)</f>
        <v>D</v>
      </c>
      <c r="K328" s="4">
        <f>_xlfn.XLOOKUP(D328,products!$A$2:$A$49,products!$D$2:$D$49,0)</f>
        <v>1</v>
      </c>
      <c r="L328" s="5">
        <f>_xlfn.XLOOKUP(D328,products!$A$2:$A$49,products!$E$2:$E$49,0)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_xlfn.XLOOKUP(orders!C329,customers!$A$1:$A$1001,customers!$G$1:$G$1001,0)</f>
        <v>United States</v>
      </c>
      <c r="I329" t="str">
        <f>_xlfn.XLOOKUP(D329,products!$A$2:$A$49,products!$B$2:$B$49,0)</f>
        <v>Rob</v>
      </c>
      <c r="J329" t="str">
        <f>_xlfn.XLOOKUP(D329,products!$A$2:$A$49,products!$C$2:$C$49,0)</f>
        <v>D</v>
      </c>
      <c r="K329" s="4">
        <f>_xlfn.XLOOKUP(D329,products!$A$2:$A$49,products!$D$2:$D$49,0)</f>
        <v>1</v>
      </c>
      <c r="L329" s="5">
        <f>_xlfn.XLOOKUP(D329,products!$A$2:$A$49,products!$E$2:$E$49,0)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_xlfn.XLOOKUP(orders!C330,customers!$A$1:$A$1001,customers!$G$1:$G$1001,0)</f>
        <v>United States</v>
      </c>
      <c r="I330" t="str">
        <f>_xlfn.XLOOKUP(D330,products!$A$2:$A$49,products!$B$2:$B$49,0)</f>
        <v>Lib</v>
      </c>
      <c r="J330" t="str">
        <f>_xlfn.XLOOKUP(D330,products!$A$2:$A$49,products!$C$2:$C$49,0)</f>
        <v>L</v>
      </c>
      <c r="K330" s="4">
        <f>_xlfn.XLOOKUP(D330,products!$A$2:$A$49,products!$D$2:$D$49,0)</f>
        <v>0.5</v>
      </c>
      <c r="L330" s="5">
        <f>_xlfn.XLOOKUP(D330,products!$A$2:$A$49,products!$E$2:$E$49,0)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_xlfn.XLOOKUP(orders!C331,customers!$A$1:$A$1001,customers!$G$1:$G$1001,0)</f>
        <v>United States</v>
      </c>
      <c r="I331" t="str">
        <f>_xlfn.XLOOKUP(D331,products!$A$2:$A$49,products!$B$2:$B$49,0)</f>
        <v>Rob</v>
      </c>
      <c r="J331" t="str">
        <f>_xlfn.XLOOKUP(D331,products!$A$2:$A$49,products!$C$2:$C$49,0)</f>
        <v>D</v>
      </c>
      <c r="K331" s="4">
        <f>_xlfn.XLOOKUP(D331,products!$A$2:$A$49,products!$D$2:$D$49,0)</f>
        <v>0.5</v>
      </c>
      <c r="L331" s="5">
        <f>_xlfn.XLOOKUP(D331,products!$A$2:$A$49,products!$E$2:$E$49,0)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_xlfn.XLOOKUP(orders!C332,customers!$A$1:$A$1001,customers!$G$1:$G$1001,0)</f>
        <v>United States</v>
      </c>
      <c r="I332" t="str">
        <f>_xlfn.XLOOKUP(D332,products!$A$2:$A$49,products!$B$2:$B$49,0)</f>
        <v>Rob</v>
      </c>
      <c r="J332" t="str">
        <f>_xlfn.XLOOKUP(D332,products!$A$2:$A$49,products!$C$2:$C$49,0)</f>
        <v>D</v>
      </c>
      <c r="K332" s="4">
        <f>_xlfn.XLOOKUP(D332,products!$A$2:$A$49,products!$D$2:$D$49,0)</f>
        <v>0.5</v>
      </c>
      <c r="L332" s="5">
        <f>_xlfn.XLOOKUP(D332,products!$A$2:$A$49,products!$E$2:$E$49,0)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_xlfn.XLOOKUP(orders!C333,customers!$A$1:$A$1001,customers!$G$1:$G$1001,0)</f>
        <v>United States</v>
      </c>
      <c r="I333" t="str">
        <f>_xlfn.XLOOKUP(D333,products!$A$2:$A$49,products!$B$2:$B$49,0)</f>
        <v>Rob</v>
      </c>
      <c r="J333" t="str">
        <f>_xlfn.XLOOKUP(D333,products!$A$2:$A$49,products!$C$2:$C$49,0)</f>
        <v>M</v>
      </c>
      <c r="K333" s="4">
        <f>_xlfn.XLOOKUP(D333,products!$A$2:$A$49,products!$D$2:$D$49,0)</f>
        <v>2.5</v>
      </c>
      <c r="L333" s="5">
        <f>_xlfn.XLOOKUP(D333,products!$A$2:$A$49,products!$E$2:$E$49,0)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_xlfn.XLOOKUP(orders!C334,customers!$A$1:$A$1001,customers!$G$1:$G$1001,0)</f>
        <v>United States</v>
      </c>
      <c r="I334" t="str">
        <f>_xlfn.XLOOKUP(D334,products!$A$2:$A$49,products!$B$2:$B$49,0)</f>
        <v>Ara</v>
      </c>
      <c r="J334" t="str">
        <f>_xlfn.XLOOKUP(D334,products!$A$2:$A$49,products!$C$2:$C$49,0)</f>
        <v>D</v>
      </c>
      <c r="K334" s="4">
        <f>_xlfn.XLOOKUP(D334,products!$A$2:$A$49,products!$D$2:$D$49,0)</f>
        <v>0.5</v>
      </c>
      <c r="L334" s="5">
        <f>_xlfn.XLOOKUP(D334,products!$A$2:$A$49,products!$E$2:$E$49,0)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_xlfn.XLOOKUP(orders!C335,customers!$A$1:$A$1001,customers!$G$1:$G$1001,0)</f>
        <v>United States</v>
      </c>
      <c r="I335" t="str">
        <f>_xlfn.XLOOKUP(D335,products!$A$2:$A$49,products!$B$2:$B$49,0)</f>
        <v>Rob</v>
      </c>
      <c r="J335" t="str">
        <f>_xlfn.XLOOKUP(D335,products!$A$2:$A$49,products!$C$2:$C$49,0)</f>
        <v>M</v>
      </c>
      <c r="K335" s="4">
        <f>_xlfn.XLOOKUP(D335,products!$A$2:$A$49,products!$D$2:$D$49,0)</f>
        <v>0.5</v>
      </c>
      <c r="L335" s="5">
        <f>_xlfn.XLOOKUP(D335,products!$A$2:$A$49,products!$E$2:$E$49,0)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_xlfn.XLOOKUP(orders!C336,customers!$A$1:$A$1001,customers!$G$1:$G$1001,0)</f>
        <v>United States</v>
      </c>
      <c r="I336" t="str">
        <f>_xlfn.XLOOKUP(D336,products!$A$2:$A$49,products!$B$2:$B$49,0)</f>
        <v>Rob</v>
      </c>
      <c r="J336" t="str">
        <f>_xlfn.XLOOKUP(D336,products!$A$2:$A$49,products!$C$2:$C$49,0)</f>
        <v>L</v>
      </c>
      <c r="K336" s="4">
        <f>_xlfn.XLOOKUP(D336,products!$A$2:$A$49,products!$D$2:$D$49,0)</f>
        <v>1</v>
      </c>
      <c r="L336" s="5">
        <f>_xlfn.XLOOKUP(D336,products!$A$2:$A$49,products!$E$2:$E$49,0)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_xlfn.XLOOKUP(orders!C337,customers!$A$1:$A$1001,customers!$G$1:$G$1001,0)</f>
        <v>United States</v>
      </c>
      <c r="I337" t="str">
        <f>_xlfn.XLOOKUP(D337,products!$A$2:$A$49,products!$B$2:$B$49,0)</f>
        <v>Lib</v>
      </c>
      <c r="J337" t="str">
        <f>_xlfn.XLOOKUP(D337,products!$A$2:$A$49,products!$C$2:$C$49,0)</f>
        <v>L</v>
      </c>
      <c r="K337" s="4">
        <f>_xlfn.XLOOKUP(D337,products!$A$2:$A$49,products!$D$2:$D$49,0)</f>
        <v>0.2</v>
      </c>
      <c r="L337" s="5">
        <f>_xlfn.XLOOKUP(D337,products!$A$2:$A$49,products!$E$2:$E$49,0)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_xlfn.XLOOKUP(orders!C338,customers!$A$1:$A$1001,customers!$G$1:$G$1001,0)</f>
        <v>United Kingdom</v>
      </c>
      <c r="I338" t="str">
        <f>_xlfn.XLOOKUP(D338,products!$A$2:$A$49,products!$B$2:$B$49,0)</f>
        <v>Ara</v>
      </c>
      <c r="J338" t="str">
        <f>_xlfn.XLOOKUP(D338,products!$A$2:$A$49,products!$C$2:$C$49,0)</f>
        <v>M</v>
      </c>
      <c r="K338" s="4">
        <f>_xlfn.XLOOKUP(D338,products!$A$2:$A$49,products!$D$2:$D$49,0)</f>
        <v>1</v>
      </c>
      <c r="L338" s="5">
        <f>_xlfn.XLOOKUP(D338,products!$A$2:$A$49,products!$E$2:$E$49,0)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_xlfn.XLOOKUP(orders!C339,customers!$A$1:$A$1001,customers!$G$1:$G$1001,0)</f>
        <v>United States</v>
      </c>
      <c r="I339" t="str">
        <f>_xlfn.XLOOKUP(D339,products!$A$2:$A$49,products!$B$2:$B$49,0)</f>
        <v>Exc</v>
      </c>
      <c r="J339" t="str">
        <f>_xlfn.XLOOKUP(D339,products!$A$2:$A$49,products!$C$2:$C$49,0)</f>
        <v>D</v>
      </c>
      <c r="K339" s="4">
        <f>_xlfn.XLOOKUP(D339,products!$A$2:$A$49,products!$D$2:$D$49,0)</f>
        <v>2.5</v>
      </c>
      <c r="L339" s="5">
        <f>_xlfn.XLOOKUP(D339,products!$A$2:$A$49,products!$E$2:$E$49,0)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_xlfn.XLOOKUP(orders!C340,customers!$A$1:$A$1001,customers!$G$1:$G$1001,0)</f>
        <v>United States</v>
      </c>
      <c r="I340" t="str">
        <f>_xlfn.XLOOKUP(D340,products!$A$2:$A$49,products!$B$2:$B$49,0)</f>
        <v>Exc</v>
      </c>
      <c r="J340" t="str">
        <f>_xlfn.XLOOKUP(D340,products!$A$2:$A$49,products!$C$2:$C$49,0)</f>
        <v>L</v>
      </c>
      <c r="K340" s="4">
        <f>_xlfn.XLOOKUP(D340,products!$A$2:$A$49,products!$D$2:$D$49,0)</f>
        <v>1</v>
      </c>
      <c r="L340" s="5">
        <f>_xlfn.XLOOKUP(D340,products!$A$2:$A$49,products!$E$2:$E$49,0)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_xlfn.XLOOKUP(orders!C341,customers!$A$1:$A$1001,customers!$G$1:$G$1001,0)</f>
        <v>United States</v>
      </c>
      <c r="I341" t="str">
        <f>_xlfn.XLOOKUP(D341,products!$A$2:$A$49,products!$B$2:$B$49,0)</f>
        <v>Exc</v>
      </c>
      <c r="J341" t="str">
        <f>_xlfn.XLOOKUP(D341,products!$A$2:$A$49,products!$C$2:$C$49,0)</f>
        <v>D</v>
      </c>
      <c r="K341" s="4">
        <f>_xlfn.XLOOKUP(D341,products!$A$2:$A$49,products!$D$2:$D$49,0)</f>
        <v>0.2</v>
      </c>
      <c r="L341" s="5">
        <f>_xlfn.XLOOKUP(D341,products!$A$2:$A$49,products!$E$2:$E$49,0)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_xlfn.XLOOKUP(orders!C342,customers!$A$1:$A$1001,customers!$G$1:$G$1001,0)</f>
        <v>United States</v>
      </c>
      <c r="I342" t="str">
        <f>_xlfn.XLOOKUP(D342,products!$A$2:$A$49,products!$B$2:$B$49,0)</f>
        <v>Exc</v>
      </c>
      <c r="J342" t="str">
        <f>_xlfn.XLOOKUP(D342,products!$A$2:$A$49,products!$C$2:$C$49,0)</f>
        <v>D</v>
      </c>
      <c r="K342" s="4">
        <f>_xlfn.XLOOKUP(D342,products!$A$2:$A$49,products!$D$2:$D$49,0)</f>
        <v>0.5</v>
      </c>
      <c r="L342" s="5">
        <f>_xlfn.XLOOKUP(D342,products!$A$2:$A$49,products!$E$2:$E$49,0)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_xlfn.XLOOKUP(orders!C343,customers!$A$1:$A$1001,customers!$G$1:$G$1001,0)</f>
        <v>United States</v>
      </c>
      <c r="I343" t="str">
        <f>_xlfn.XLOOKUP(D343,products!$A$2:$A$49,products!$B$2:$B$49,0)</f>
        <v>Exc</v>
      </c>
      <c r="J343" t="str">
        <f>_xlfn.XLOOKUP(D343,products!$A$2:$A$49,products!$C$2:$C$49,0)</f>
        <v>L</v>
      </c>
      <c r="K343" s="4">
        <f>_xlfn.XLOOKUP(D343,products!$A$2:$A$49,products!$D$2:$D$49,0)</f>
        <v>0.5</v>
      </c>
      <c r="L343" s="5">
        <f>_xlfn.XLOOKUP(D343,products!$A$2:$A$49,products!$E$2:$E$49,0)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_xlfn.XLOOKUP(orders!C344,customers!$A$1:$A$1001,customers!$G$1:$G$1001,0)</f>
        <v>United States</v>
      </c>
      <c r="I344" t="str">
        <f>_xlfn.XLOOKUP(D344,products!$A$2:$A$49,products!$B$2:$B$49,0)</f>
        <v>Lib</v>
      </c>
      <c r="J344" t="str">
        <f>_xlfn.XLOOKUP(D344,products!$A$2:$A$49,products!$C$2:$C$49,0)</f>
        <v>D</v>
      </c>
      <c r="K344" s="4">
        <f>_xlfn.XLOOKUP(D344,products!$A$2:$A$49,products!$D$2:$D$49,0)</f>
        <v>0.5</v>
      </c>
      <c r="L344" s="5">
        <f>_xlfn.XLOOKUP(D344,products!$A$2:$A$49,products!$E$2:$E$49,0)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_xlfn.XLOOKUP(orders!C345,customers!$A$1:$A$1001,customers!$G$1:$G$1001,0)</f>
        <v>United States</v>
      </c>
      <c r="I345" t="str">
        <f>_xlfn.XLOOKUP(D345,products!$A$2:$A$49,products!$B$2:$B$49,0)</f>
        <v>Rob</v>
      </c>
      <c r="J345" t="str">
        <f>_xlfn.XLOOKUP(D345,products!$A$2:$A$49,products!$C$2:$C$49,0)</f>
        <v>D</v>
      </c>
      <c r="K345" s="4">
        <f>_xlfn.XLOOKUP(D345,products!$A$2:$A$49,products!$D$2:$D$49,0)</f>
        <v>0.5</v>
      </c>
      <c r="L345" s="5">
        <f>_xlfn.XLOOKUP(D345,products!$A$2:$A$49,products!$E$2:$E$49,0)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_xlfn.XLOOKUP(orders!C346,customers!$A$1:$A$1001,customers!$G$1:$G$1001,0)</f>
        <v>Ireland</v>
      </c>
      <c r="I346" t="str">
        <f>_xlfn.XLOOKUP(D346,products!$A$2:$A$49,products!$B$2:$B$49,0)</f>
        <v>Rob</v>
      </c>
      <c r="J346" t="str">
        <f>_xlfn.XLOOKUP(D346,products!$A$2:$A$49,products!$C$2:$C$49,0)</f>
        <v>M</v>
      </c>
      <c r="K346" s="4">
        <f>_xlfn.XLOOKUP(D346,products!$A$2:$A$49,products!$D$2:$D$49,0)</f>
        <v>1</v>
      </c>
      <c r="L346" s="5">
        <f>_xlfn.XLOOKUP(D346,products!$A$2:$A$49,products!$E$2:$E$49,0)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_xlfn.XLOOKUP(orders!C347,customers!$A$1:$A$1001,customers!$G$1:$G$1001,0)</f>
        <v>United States</v>
      </c>
      <c r="I347" t="str">
        <f>_xlfn.XLOOKUP(D347,products!$A$2:$A$49,products!$B$2:$B$49,0)</f>
        <v>Rob</v>
      </c>
      <c r="J347" t="str">
        <f>_xlfn.XLOOKUP(D347,products!$A$2:$A$49,products!$C$2:$C$49,0)</f>
        <v>L</v>
      </c>
      <c r="K347" s="4">
        <f>_xlfn.XLOOKUP(D347,products!$A$2:$A$49,products!$D$2:$D$49,0)</f>
        <v>1</v>
      </c>
      <c r="L347" s="5">
        <f>_xlfn.XLOOKUP(D347,products!$A$2:$A$49,products!$E$2:$E$49,0)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_xlfn.XLOOKUP(orders!C348,customers!$A$1:$A$1001,customers!$G$1:$G$1001,0)</f>
        <v>United States</v>
      </c>
      <c r="I348" t="str">
        <f>_xlfn.XLOOKUP(D348,products!$A$2:$A$49,products!$B$2:$B$49,0)</f>
        <v>Ara</v>
      </c>
      <c r="J348" t="str">
        <f>_xlfn.XLOOKUP(D348,products!$A$2:$A$49,products!$C$2:$C$49,0)</f>
        <v>L</v>
      </c>
      <c r="K348" s="4">
        <f>_xlfn.XLOOKUP(D348,products!$A$2:$A$49,products!$D$2:$D$49,0)</f>
        <v>0.5</v>
      </c>
      <c r="L348" s="5">
        <f>_xlfn.XLOOKUP(D348,products!$A$2:$A$49,products!$E$2:$E$49,0)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_xlfn.XLOOKUP(orders!C349,customers!$A$1:$A$1001,customers!$G$1:$G$1001,0)</f>
        <v>United States</v>
      </c>
      <c r="I349" t="str">
        <f>_xlfn.XLOOKUP(D349,products!$A$2:$A$49,products!$B$2:$B$49,0)</f>
        <v>Lib</v>
      </c>
      <c r="J349" t="str">
        <f>_xlfn.XLOOKUP(D349,products!$A$2:$A$49,products!$C$2:$C$49,0)</f>
        <v>M</v>
      </c>
      <c r="K349" s="4">
        <f>_xlfn.XLOOKUP(D349,products!$A$2:$A$49,products!$D$2:$D$49,0)</f>
        <v>1</v>
      </c>
      <c r="L349" s="5">
        <f>_xlfn.XLOOKUP(D349,products!$A$2:$A$49,products!$E$2:$E$49,0)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_xlfn.XLOOKUP(orders!C350,customers!$A$1:$A$1001,customers!$G$1:$G$1001,0)</f>
        <v>United States</v>
      </c>
      <c r="I350" t="str">
        <f>_xlfn.XLOOKUP(D350,products!$A$2:$A$49,products!$B$2:$B$49,0)</f>
        <v>Exc</v>
      </c>
      <c r="J350" t="str">
        <f>_xlfn.XLOOKUP(D350,products!$A$2:$A$49,products!$C$2:$C$49,0)</f>
        <v>L</v>
      </c>
      <c r="K350" s="4">
        <f>_xlfn.XLOOKUP(D350,products!$A$2:$A$49,products!$D$2:$D$49,0)</f>
        <v>2.5</v>
      </c>
      <c r="L350" s="5">
        <f>_xlfn.XLOOKUP(D350,products!$A$2:$A$49,products!$E$2:$E$49,0)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_xlfn.XLOOKUP(orders!C351,customers!$A$1:$A$1001,customers!$G$1:$G$1001,0)</f>
        <v>United States</v>
      </c>
      <c r="I351" t="str">
        <f>_xlfn.XLOOKUP(D351,products!$A$2:$A$49,products!$B$2:$B$49,0)</f>
        <v>Rob</v>
      </c>
      <c r="J351" t="str">
        <f>_xlfn.XLOOKUP(D351,products!$A$2:$A$49,products!$C$2:$C$49,0)</f>
        <v>L</v>
      </c>
      <c r="K351" s="4">
        <f>_xlfn.XLOOKUP(D351,products!$A$2:$A$49,products!$D$2:$D$49,0)</f>
        <v>0.2</v>
      </c>
      <c r="L351" s="5">
        <f>_xlfn.XLOOKUP(D351,products!$A$2:$A$49,products!$E$2:$E$49,0)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_xlfn.XLOOKUP(orders!C352,customers!$A$1:$A$1001,customers!$G$1:$G$1001,0)</f>
        <v>United States</v>
      </c>
      <c r="I352" t="str">
        <f>_xlfn.XLOOKUP(D352,products!$A$2:$A$49,products!$B$2:$B$49,0)</f>
        <v>Ara</v>
      </c>
      <c r="J352" t="str">
        <f>_xlfn.XLOOKUP(D352,products!$A$2:$A$49,products!$C$2:$C$49,0)</f>
        <v>D</v>
      </c>
      <c r="K352" s="4">
        <f>_xlfn.XLOOKUP(D352,products!$A$2:$A$49,products!$D$2:$D$49,0)</f>
        <v>0.5</v>
      </c>
      <c r="L352" s="5">
        <f>_xlfn.XLOOKUP(D352,products!$A$2:$A$49,products!$E$2:$E$49,0)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_xlfn.XLOOKUP(orders!C353,customers!$A$1:$A$1001,customers!$G$1:$G$1001,0)</f>
        <v>United States</v>
      </c>
      <c r="I353" t="str">
        <f>_xlfn.XLOOKUP(D353,products!$A$2:$A$49,products!$B$2:$B$49,0)</f>
        <v>Ara</v>
      </c>
      <c r="J353" t="str">
        <f>_xlfn.XLOOKUP(D353,products!$A$2:$A$49,products!$C$2:$C$49,0)</f>
        <v>M</v>
      </c>
      <c r="K353" s="4">
        <f>_xlfn.XLOOKUP(D353,products!$A$2:$A$49,products!$D$2:$D$49,0)</f>
        <v>1</v>
      </c>
      <c r="L353" s="5">
        <f>_xlfn.XLOOKUP(D353,products!$A$2:$A$49,products!$E$2:$E$49,0)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_xlfn.XLOOKUP(orders!C354,customers!$A$1:$A$1001,customers!$G$1:$G$1001,0)</f>
        <v>United States</v>
      </c>
      <c r="I354" t="str">
        <f>_xlfn.XLOOKUP(D354,products!$A$2:$A$49,products!$B$2:$B$49,0)</f>
        <v>Exc</v>
      </c>
      <c r="J354" t="str">
        <f>_xlfn.XLOOKUP(D354,products!$A$2:$A$49,products!$C$2:$C$49,0)</f>
        <v>D</v>
      </c>
      <c r="K354" s="4">
        <f>_xlfn.XLOOKUP(D354,products!$A$2:$A$49,products!$D$2:$D$49,0)</f>
        <v>0.5</v>
      </c>
      <c r="L354" s="5">
        <f>_xlfn.XLOOKUP(D354,products!$A$2:$A$49,products!$E$2:$E$49,0)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_xlfn.XLOOKUP(orders!C355,customers!$A$1:$A$1001,customers!$G$1:$G$1001,0)</f>
        <v>United States</v>
      </c>
      <c r="I355" t="str">
        <f>_xlfn.XLOOKUP(D355,products!$A$2:$A$49,products!$B$2:$B$49,0)</f>
        <v>Ara</v>
      </c>
      <c r="J355" t="str">
        <f>_xlfn.XLOOKUP(D355,products!$A$2:$A$49,products!$C$2:$C$49,0)</f>
        <v>M</v>
      </c>
      <c r="K355" s="4">
        <f>_xlfn.XLOOKUP(D355,products!$A$2:$A$49,products!$D$2:$D$49,0)</f>
        <v>0.5</v>
      </c>
      <c r="L355" s="5">
        <f>_xlfn.XLOOKUP(D355,products!$A$2:$A$49,products!$E$2:$E$49,0)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_xlfn.XLOOKUP(orders!C356,customers!$A$1:$A$1001,customers!$G$1:$G$1001,0)</f>
        <v>United States</v>
      </c>
      <c r="I356" t="str">
        <f>_xlfn.XLOOKUP(D356,products!$A$2:$A$49,products!$B$2:$B$49,0)</f>
        <v>Ara</v>
      </c>
      <c r="J356" t="str">
        <f>_xlfn.XLOOKUP(D356,products!$A$2:$A$49,products!$C$2:$C$49,0)</f>
        <v>M</v>
      </c>
      <c r="K356" s="4">
        <f>_xlfn.XLOOKUP(D356,products!$A$2:$A$49,products!$D$2:$D$49,0)</f>
        <v>2.5</v>
      </c>
      <c r="L356" s="5">
        <f>_xlfn.XLOOKUP(D356,products!$A$2:$A$49,products!$E$2:$E$49,0)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_xlfn.XLOOKUP(orders!C357,customers!$A$1:$A$1001,customers!$G$1:$G$1001,0)</f>
        <v>United States</v>
      </c>
      <c r="I357" t="str">
        <f>_xlfn.XLOOKUP(D357,products!$A$2:$A$49,products!$B$2:$B$49,0)</f>
        <v>Ara</v>
      </c>
      <c r="J357" t="str">
        <f>_xlfn.XLOOKUP(D357,products!$A$2:$A$49,products!$C$2:$C$49,0)</f>
        <v>D</v>
      </c>
      <c r="K357" s="4">
        <f>_xlfn.XLOOKUP(D357,products!$A$2:$A$49,products!$D$2:$D$49,0)</f>
        <v>2.5</v>
      </c>
      <c r="L357" s="5">
        <f>_xlfn.XLOOKUP(D357,products!$A$2:$A$49,products!$E$2:$E$49,0)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_xlfn.XLOOKUP(orders!C358,customers!$A$1:$A$1001,customers!$G$1:$G$1001,0)</f>
        <v>United States</v>
      </c>
      <c r="I358" t="str">
        <f>_xlfn.XLOOKUP(D358,products!$A$2:$A$49,products!$B$2:$B$49,0)</f>
        <v>Lib</v>
      </c>
      <c r="J358" t="str">
        <f>_xlfn.XLOOKUP(D358,products!$A$2:$A$49,products!$C$2:$C$49,0)</f>
        <v>D</v>
      </c>
      <c r="K358" s="4">
        <f>_xlfn.XLOOKUP(D358,products!$A$2:$A$49,products!$D$2:$D$49,0)</f>
        <v>1</v>
      </c>
      <c r="L358" s="5">
        <f>_xlfn.XLOOKUP(D358,products!$A$2:$A$49,products!$E$2:$E$49,0)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_xlfn.XLOOKUP(orders!C359,customers!$A$1:$A$1001,customers!$G$1:$G$1001,0)</f>
        <v>United States</v>
      </c>
      <c r="I359" t="str">
        <f>_xlfn.XLOOKUP(D359,products!$A$2:$A$49,products!$B$2:$B$49,0)</f>
        <v>Ara</v>
      </c>
      <c r="J359" t="str">
        <f>_xlfn.XLOOKUP(D359,products!$A$2:$A$49,products!$C$2:$C$49,0)</f>
        <v>M</v>
      </c>
      <c r="K359" s="4">
        <f>_xlfn.XLOOKUP(D359,products!$A$2:$A$49,products!$D$2:$D$49,0)</f>
        <v>2.5</v>
      </c>
      <c r="L359" s="5">
        <f>_xlfn.XLOOKUP(D359,products!$A$2:$A$49,products!$E$2:$E$49,0)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_xlfn.XLOOKUP(orders!C360,customers!$A$1:$A$1001,customers!$G$1:$G$1001,0)</f>
        <v>United States</v>
      </c>
      <c r="I360" t="str">
        <f>_xlfn.XLOOKUP(D360,products!$A$2:$A$49,products!$B$2:$B$49,0)</f>
        <v>Ara</v>
      </c>
      <c r="J360" t="str">
        <f>_xlfn.XLOOKUP(D360,products!$A$2:$A$49,products!$C$2:$C$49,0)</f>
        <v>L</v>
      </c>
      <c r="K360" s="4">
        <f>_xlfn.XLOOKUP(D360,products!$A$2:$A$49,products!$D$2:$D$49,0)</f>
        <v>2.5</v>
      </c>
      <c r="L360" s="5">
        <f>_xlfn.XLOOKUP(D360,products!$A$2:$A$49,products!$E$2:$E$49,0)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_xlfn.XLOOKUP(orders!C361,customers!$A$1:$A$1001,customers!$G$1:$G$1001,0)</f>
        <v>United Kingdom</v>
      </c>
      <c r="I361" t="str">
        <f>_xlfn.XLOOKUP(D361,products!$A$2:$A$49,products!$B$2:$B$49,0)</f>
        <v>Rob</v>
      </c>
      <c r="J361" t="str">
        <f>_xlfn.XLOOKUP(D361,products!$A$2:$A$49,products!$C$2:$C$49,0)</f>
        <v>L</v>
      </c>
      <c r="K361" s="4">
        <f>_xlfn.XLOOKUP(D361,products!$A$2:$A$49,products!$D$2:$D$49,0)</f>
        <v>0.2</v>
      </c>
      <c r="L361" s="5">
        <f>_xlfn.XLOOKUP(D361,products!$A$2:$A$49,products!$E$2:$E$49,0)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_xlfn.XLOOKUP(orders!C362,customers!$A$1:$A$1001,customers!$G$1:$G$1001,0)</f>
        <v>United States</v>
      </c>
      <c r="I362" t="str">
        <f>_xlfn.XLOOKUP(D362,products!$A$2:$A$49,products!$B$2:$B$49,0)</f>
        <v>Rob</v>
      </c>
      <c r="J362" t="str">
        <f>_xlfn.XLOOKUP(D362,products!$A$2:$A$49,products!$C$2:$C$49,0)</f>
        <v>D</v>
      </c>
      <c r="K362" s="4">
        <f>_xlfn.XLOOKUP(D362,products!$A$2:$A$49,products!$D$2:$D$49,0)</f>
        <v>2.5</v>
      </c>
      <c r="L362" s="5">
        <f>_xlfn.XLOOKUP(D362,products!$A$2:$A$49,products!$E$2:$E$49,0)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_xlfn.XLOOKUP(orders!C363,customers!$A$1:$A$1001,customers!$G$1:$G$1001,0)</f>
        <v>United States</v>
      </c>
      <c r="I363" t="str">
        <f>_xlfn.XLOOKUP(D363,products!$A$2:$A$49,products!$B$2:$B$49,0)</f>
        <v>Rob</v>
      </c>
      <c r="J363" t="str">
        <f>_xlfn.XLOOKUP(D363,products!$A$2:$A$49,products!$C$2:$C$49,0)</f>
        <v>M</v>
      </c>
      <c r="K363" s="4">
        <f>_xlfn.XLOOKUP(D363,products!$A$2:$A$49,products!$D$2:$D$49,0)</f>
        <v>0.5</v>
      </c>
      <c r="L363" s="5">
        <f>_xlfn.XLOOKUP(D363,products!$A$2:$A$49,products!$E$2:$E$49,0)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_xlfn.XLOOKUP(orders!C364,customers!$A$1:$A$1001,customers!$G$1:$G$1001,0)</f>
        <v>United States</v>
      </c>
      <c r="I364" t="str">
        <f>_xlfn.XLOOKUP(D364,products!$A$2:$A$49,products!$B$2:$B$49,0)</f>
        <v>Exc</v>
      </c>
      <c r="J364" t="str">
        <f>_xlfn.XLOOKUP(D364,products!$A$2:$A$49,products!$C$2:$C$49,0)</f>
        <v>L</v>
      </c>
      <c r="K364" s="4">
        <f>_xlfn.XLOOKUP(D364,products!$A$2:$A$49,products!$D$2:$D$49,0)</f>
        <v>1</v>
      </c>
      <c r="L364" s="5">
        <f>_xlfn.XLOOKUP(D364,products!$A$2:$A$49,products!$E$2:$E$49,0)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_xlfn.XLOOKUP(orders!C365,customers!$A$1:$A$1001,customers!$G$1:$G$1001,0)</f>
        <v>United States</v>
      </c>
      <c r="I365" t="str">
        <f>_xlfn.XLOOKUP(D365,products!$A$2:$A$49,products!$B$2:$B$49,0)</f>
        <v>Lib</v>
      </c>
      <c r="J365" t="str">
        <f>_xlfn.XLOOKUP(D365,products!$A$2:$A$49,products!$C$2:$C$49,0)</f>
        <v>M</v>
      </c>
      <c r="K365" s="4">
        <f>_xlfn.XLOOKUP(D365,products!$A$2:$A$49,products!$D$2:$D$49,0)</f>
        <v>1</v>
      </c>
      <c r="L365" s="5">
        <f>_xlfn.XLOOKUP(D365,products!$A$2:$A$49,products!$E$2:$E$49,0)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_xlfn.XLOOKUP(orders!C366,customers!$A$1:$A$1001,customers!$G$1:$G$1001,0)</f>
        <v>United States</v>
      </c>
      <c r="I366" t="str">
        <f>_xlfn.XLOOKUP(D366,products!$A$2:$A$49,products!$B$2:$B$49,0)</f>
        <v>Exc</v>
      </c>
      <c r="J366" t="str">
        <f>_xlfn.XLOOKUP(D366,products!$A$2:$A$49,products!$C$2:$C$49,0)</f>
        <v>D</v>
      </c>
      <c r="K366" s="4">
        <f>_xlfn.XLOOKUP(D366,products!$A$2:$A$49,products!$D$2:$D$49,0)</f>
        <v>1</v>
      </c>
      <c r="L366" s="5">
        <f>_xlfn.XLOOKUP(D366,products!$A$2:$A$49,products!$E$2:$E$49,0)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_xlfn.XLOOKUP(orders!C367,customers!$A$1:$A$1001,customers!$G$1:$G$1001,0)</f>
        <v>United States</v>
      </c>
      <c r="I367" t="str">
        <f>_xlfn.XLOOKUP(D367,products!$A$2:$A$49,products!$B$2:$B$49,0)</f>
        <v>Lib</v>
      </c>
      <c r="J367" t="str">
        <f>_xlfn.XLOOKUP(D367,products!$A$2:$A$49,products!$C$2:$C$49,0)</f>
        <v>D</v>
      </c>
      <c r="K367" s="4">
        <f>_xlfn.XLOOKUP(D367,products!$A$2:$A$49,products!$D$2:$D$49,0)</f>
        <v>0.5</v>
      </c>
      <c r="L367" s="5">
        <f>_xlfn.XLOOKUP(D367,products!$A$2:$A$49,products!$E$2:$E$49,0)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_xlfn.XLOOKUP(orders!C368,customers!$A$1:$A$1001,customers!$G$1:$G$1001,0)</f>
        <v>United States</v>
      </c>
      <c r="I368" t="str">
        <f>_xlfn.XLOOKUP(D368,products!$A$2:$A$49,products!$B$2:$B$49,0)</f>
        <v>Exc</v>
      </c>
      <c r="J368" t="str">
        <f>_xlfn.XLOOKUP(D368,products!$A$2:$A$49,products!$C$2:$C$49,0)</f>
        <v>D</v>
      </c>
      <c r="K368" s="4">
        <f>_xlfn.XLOOKUP(D368,products!$A$2:$A$49,products!$D$2:$D$49,0)</f>
        <v>0.5</v>
      </c>
      <c r="L368" s="5">
        <f>_xlfn.XLOOKUP(D368,products!$A$2:$A$49,products!$E$2:$E$49,0)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_xlfn.XLOOKUP(orders!C369,customers!$A$1:$A$1001,customers!$G$1:$G$1001,0)</f>
        <v>United States</v>
      </c>
      <c r="I369" t="str">
        <f>_xlfn.XLOOKUP(D369,products!$A$2:$A$49,products!$B$2:$B$49,0)</f>
        <v>Lib</v>
      </c>
      <c r="J369" t="str">
        <f>_xlfn.XLOOKUP(D369,products!$A$2:$A$49,products!$C$2:$C$49,0)</f>
        <v>M</v>
      </c>
      <c r="K369" s="4">
        <f>_xlfn.XLOOKUP(D369,products!$A$2:$A$49,products!$D$2:$D$49,0)</f>
        <v>0.2</v>
      </c>
      <c r="L369" s="5">
        <f>_xlfn.XLOOKUP(D369,products!$A$2:$A$49,products!$E$2:$E$49,0)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_xlfn.XLOOKUP(orders!C370,customers!$A$1:$A$1001,customers!$G$1:$G$1001,0)</f>
        <v>United States</v>
      </c>
      <c r="I370" t="str">
        <f>_xlfn.XLOOKUP(D370,products!$A$2:$A$49,products!$B$2:$B$49,0)</f>
        <v>Exc</v>
      </c>
      <c r="J370" t="str">
        <f>_xlfn.XLOOKUP(D370,products!$A$2:$A$49,products!$C$2:$C$49,0)</f>
        <v>M</v>
      </c>
      <c r="K370" s="4">
        <f>_xlfn.XLOOKUP(D370,products!$A$2:$A$49,products!$D$2:$D$49,0)</f>
        <v>2.5</v>
      </c>
      <c r="L370" s="5">
        <f>_xlfn.XLOOKUP(D370,products!$A$2:$A$49,products!$E$2:$E$49,0)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_xlfn.XLOOKUP(orders!C371,customers!$A$1:$A$1001,customers!$G$1:$G$1001,0)</f>
        <v>United States</v>
      </c>
      <c r="I371" t="str">
        <f>_xlfn.XLOOKUP(D371,products!$A$2:$A$49,products!$B$2:$B$49,0)</f>
        <v>Exc</v>
      </c>
      <c r="J371" t="str">
        <f>_xlfn.XLOOKUP(D371,products!$A$2:$A$49,products!$C$2:$C$49,0)</f>
        <v>L</v>
      </c>
      <c r="K371" s="4">
        <f>_xlfn.XLOOKUP(D371,products!$A$2:$A$49,products!$D$2:$D$49,0)</f>
        <v>0.5</v>
      </c>
      <c r="L371" s="5">
        <f>_xlfn.XLOOKUP(D371,products!$A$2:$A$49,products!$E$2:$E$49,0)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_xlfn.XLOOKUP(orders!C372,customers!$A$1:$A$1001,customers!$G$1:$G$1001,0)</f>
        <v>United States</v>
      </c>
      <c r="I372" t="str">
        <f>_xlfn.XLOOKUP(D372,products!$A$2:$A$49,products!$B$2:$B$49,0)</f>
        <v>Exc</v>
      </c>
      <c r="J372" t="str">
        <f>_xlfn.XLOOKUP(D372,products!$A$2:$A$49,products!$C$2:$C$49,0)</f>
        <v>D</v>
      </c>
      <c r="K372" s="4">
        <f>_xlfn.XLOOKUP(D372,products!$A$2:$A$49,products!$D$2:$D$49,0)</f>
        <v>1</v>
      </c>
      <c r="L372" s="5">
        <f>_xlfn.XLOOKUP(D372,products!$A$2:$A$49,products!$E$2:$E$49,0)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_xlfn.XLOOKUP(orders!C373,customers!$A$1:$A$1001,customers!$G$1:$G$1001,0)</f>
        <v>United States</v>
      </c>
      <c r="I373" t="str">
        <f>_xlfn.XLOOKUP(D373,products!$A$2:$A$49,products!$B$2:$B$49,0)</f>
        <v>Ara</v>
      </c>
      <c r="J373" t="str">
        <f>_xlfn.XLOOKUP(D373,products!$A$2:$A$49,products!$C$2:$C$49,0)</f>
        <v>L</v>
      </c>
      <c r="K373" s="4">
        <f>_xlfn.XLOOKUP(D373,products!$A$2:$A$49,products!$D$2:$D$49,0)</f>
        <v>0.5</v>
      </c>
      <c r="L373" s="5">
        <f>_xlfn.XLOOKUP(D373,products!$A$2:$A$49,products!$E$2:$E$49,0)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_xlfn.XLOOKUP(orders!C374,customers!$A$1:$A$1001,customers!$G$1:$G$1001,0)</f>
        <v>United States</v>
      </c>
      <c r="I374" t="str">
        <f>_xlfn.XLOOKUP(D374,products!$A$2:$A$49,products!$B$2:$B$49,0)</f>
        <v>Rob</v>
      </c>
      <c r="J374" t="str">
        <f>_xlfn.XLOOKUP(D374,products!$A$2:$A$49,products!$C$2:$C$49,0)</f>
        <v>L</v>
      </c>
      <c r="K374" s="4">
        <f>_xlfn.XLOOKUP(D374,products!$A$2:$A$49,products!$D$2:$D$49,0)</f>
        <v>0.5</v>
      </c>
      <c r="L374" s="5">
        <f>_xlfn.XLOOKUP(D374,products!$A$2:$A$49,products!$E$2:$E$49,0)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_xlfn.XLOOKUP(orders!C375,customers!$A$1:$A$1001,customers!$G$1:$G$1001,0)</f>
        <v>Ireland</v>
      </c>
      <c r="I375" t="str">
        <f>_xlfn.XLOOKUP(D375,products!$A$2:$A$49,products!$B$2:$B$49,0)</f>
        <v>Ara</v>
      </c>
      <c r="J375" t="str">
        <f>_xlfn.XLOOKUP(D375,products!$A$2:$A$49,products!$C$2:$C$49,0)</f>
        <v>D</v>
      </c>
      <c r="K375" s="4">
        <f>_xlfn.XLOOKUP(D375,products!$A$2:$A$49,products!$D$2:$D$49,0)</f>
        <v>0.5</v>
      </c>
      <c r="L375" s="5">
        <f>_xlfn.XLOOKUP(D375,products!$A$2:$A$49,products!$E$2:$E$49,0)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_xlfn.XLOOKUP(orders!C376,customers!$A$1:$A$1001,customers!$G$1:$G$1001,0)</f>
        <v>United States</v>
      </c>
      <c r="I376" t="str">
        <f>_xlfn.XLOOKUP(D376,products!$A$2:$A$49,products!$B$2:$B$49,0)</f>
        <v>Lib</v>
      </c>
      <c r="J376" t="str">
        <f>_xlfn.XLOOKUP(D376,products!$A$2:$A$49,products!$C$2:$C$49,0)</f>
        <v>L</v>
      </c>
      <c r="K376" s="4">
        <f>_xlfn.XLOOKUP(D376,products!$A$2:$A$49,products!$D$2:$D$49,0)</f>
        <v>0.5</v>
      </c>
      <c r="L376" s="5">
        <f>_xlfn.XLOOKUP(D376,products!$A$2:$A$49,products!$E$2:$E$49,0)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_xlfn.XLOOKUP(orders!C377,customers!$A$1:$A$1001,customers!$G$1:$G$1001,0)</f>
        <v>United States</v>
      </c>
      <c r="I377" t="str">
        <f>_xlfn.XLOOKUP(D377,products!$A$2:$A$49,products!$B$2:$B$49,0)</f>
        <v>Ara</v>
      </c>
      <c r="J377" t="str">
        <f>_xlfn.XLOOKUP(D377,products!$A$2:$A$49,products!$C$2:$C$49,0)</f>
        <v>M</v>
      </c>
      <c r="K377" s="4">
        <f>_xlfn.XLOOKUP(D377,products!$A$2:$A$49,products!$D$2:$D$49,0)</f>
        <v>0.2</v>
      </c>
      <c r="L377" s="5">
        <f>_xlfn.XLOOKUP(D377,products!$A$2:$A$49,products!$E$2:$E$49,0)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_xlfn.XLOOKUP(orders!C378,customers!$A$1:$A$1001,customers!$G$1:$G$1001,0)</f>
        <v>United States</v>
      </c>
      <c r="I378" t="str">
        <f>_xlfn.XLOOKUP(D378,products!$A$2:$A$49,products!$B$2:$B$49,0)</f>
        <v>Rob</v>
      </c>
      <c r="J378" t="str">
        <f>_xlfn.XLOOKUP(D378,products!$A$2:$A$49,products!$C$2:$C$49,0)</f>
        <v>M</v>
      </c>
      <c r="K378" s="4">
        <f>_xlfn.XLOOKUP(D378,products!$A$2:$A$49,products!$D$2:$D$49,0)</f>
        <v>0.5</v>
      </c>
      <c r="L378" s="5">
        <f>_xlfn.XLOOKUP(D378,products!$A$2:$A$49,products!$E$2:$E$49,0)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_xlfn.XLOOKUP(orders!C379,customers!$A$1:$A$1001,customers!$G$1:$G$1001,0)</f>
        <v>Ireland</v>
      </c>
      <c r="I379" t="str">
        <f>_xlfn.XLOOKUP(D379,products!$A$2:$A$49,products!$B$2:$B$49,0)</f>
        <v>Rob</v>
      </c>
      <c r="J379" t="str">
        <f>_xlfn.XLOOKUP(D379,products!$A$2:$A$49,products!$C$2:$C$49,0)</f>
        <v>D</v>
      </c>
      <c r="K379" s="4">
        <f>_xlfn.XLOOKUP(D379,products!$A$2:$A$49,products!$D$2:$D$49,0)</f>
        <v>0.2</v>
      </c>
      <c r="L379" s="5">
        <f>_xlfn.XLOOKUP(D379,products!$A$2:$A$49,products!$E$2:$E$49,0)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_xlfn.XLOOKUP(orders!C380,customers!$A$1:$A$1001,customers!$G$1:$G$1001,0)</f>
        <v>Ireland</v>
      </c>
      <c r="I380" t="str">
        <f>_xlfn.XLOOKUP(D380,products!$A$2:$A$49,products!$B$2:$B$49,0)</f>
        <v>Ara</v>
      </c>
      <c r="J380" t="str">
        <f>_xlfn.XLOOKUP(D380,products!$A$2:$A$49,products!$C$2:$C$49,0)</f>
        <v>L</v>
      </c>
      <c r="K380" s="4">
        <f>_xlfn.XLOOKUP(D380,products!$A$2:$A$49,products!$D$2:$D$49,0)</f>
        <v>0.5</v>
      </c>
      <c r="L380" s="5">
        <f>_xlfn.XLOOKUP(D380,products!$A$2:$A$49,products!$E$2:$E$49,0)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_xlfn.XLOOKUP(orders!C381,customers!$A$1:$A$1001,customers!$G$1:$G$1001,0)</f>
        <v>United Kingdom</v>
      </c>
      <c r="I381" t="str">
        <f>_xlfn.XLOOKUP(D381,products!$A$2:$A$49,products!$B$2:$B$49,0)</f>
        <v>Rob</v>
      </c>
      <c r="J381" t="str">
        <f>_xlfn.XLOOKUP(D381,products!$A$2:$A$49,products!$C$2:$C$49,0)</f>
        <v>L</v>
      </c>
      <c r="K381" s="4">
        <f>_xlfn.XLOOKUP(D381,products!$A$2:$A$49,products!$D$2:$D$49,0)</f>
        <v>0.5</v>
      </c>
      <c r="L381" s="5">
        <f>_xlfn.XLOOKUP(D381,products!$A$2:$A$49,products!$E$2:$E$49,0)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_xlfn.XLOOKUP(orders!C382,customers!$A$1:$A$1001,customers!$G$1:$G$1001,0)</f>
        <v>United States</v>
      </c>
      <c r="I382" t="str">
        <f>_xlfn.XLOOKUP(D382,products!$A$2:$A$49,products!$B$2:$B$49,0)</f>
        <v>Lib</v>
      </c>
      <c r="J382" t="str">
        <f>_xlfn.XLOOKUP(D382,products!$A$2:$A$49,products!$C$2:$C$49,0)</f>
        <v>D</v>
      </c>
      <c r="K382" s="4">
        <f>_xlfn.XLOOKUP(D382,products!$A$2:$A$49,products!$D$2:$D$49,0)</f>
        <v>0.5</v>
      </c>
      <c r="L382" s="5">
        <f>_xlfn.XLOOKUP(D382,products!$A$2:$A$49,products!$E$2:$E$49,0)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_xlfn.XLOOKUP(orders!C383,customers!$A$1:$A$1001,customers!$G$1:$G$1001,0)</f>
        <v>United States</v>
      </c>
      <c r="I383" t="str">
        <f>_xlfn.XLOOKUP(D383,products!$A$2:$A$49,products!$B$2:$B$49,0)</f>
        <v>Ara</v>
      </c>
      <c r="J383" t="str">
        <f>_xlfn.XLOOKUP(D383,products!$A$2:$A$49,products!$C$2:$C$49,0)</f>
        <v>D</v>
      </c>
      <c r="K383" s="4">
        <f>_xlfn.XLOOKUP(D383,products!$A$2:$A$49,products!$D$2:$D$49,0)</f>
        <v>0.2</v>
      </c>
      <c r="L383" s="5">
        <f>_xlfn.XLOOKUP(D383,products!$A$2:$A$49,products!$E$2:$E$49,0)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_xlfn.XLOOKUP(orders!C384,customers!$A$1:$A$1001,customers!$G$1:$G$1001,0)</f>
        <v>United States</v>
      </c>
      <c r="I384" t="str">
        <f>_xlfn.XLOOKUP(D384,products!$A$2:$A$49,products!$B$2:$B$49,0)</f>
        <v>Exc</v>
      </c>
      <c r="J384" t="str">
        <f>_xlfn.XLOOKUP(D384,products!$A$2:$A$49,products!$C$2:$C$49,0)</f>
        <v>D</v>
      </c>
      <c r="K384" s="4">
        <f>_xlfn.XLOOKUP(D384,products!$A$2:$A$49,products!$D$2:$D$49,0)</f>
        <v>0.5</v>
      </c>
      <c r="L384" s="5">
        <f>_xlfn.XLOOKUP(D384,products!$A$2:$A$49,products!$E$2:$E$49,0)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_xlfn.XLOOKUP(orders!C385,customers!$A$1:$A$1001,customers!$G$1:$G$1001,0)</f>
        <v>United States</v>
      </c>
      <c r="I385" t="str">
        <f>_xlfn.XLOOKUP(D385,products!$A$2:$A$49,products!$B$2:$B$49,0)</f>
        <v>Exc</v>
      </c>
      <c r="J385" t="str">
        <f>_xlfn.XLOOKUP(D385,products!$A$2:$A$49,products!$C$2:$C$49,0)</f>
        <v>L</v>
      </c>
      <c r="K385" s="4">
        <f>_xlfn.XLOOKUP(D385,products!$A$2:$A$49,products!$D$2:$D$49,0)</f>
        <v>0.5</v>
      </c>
      <c r="L385" s="5">
        <f>_xlfn.XLOOKUP(D385,products!$A$2:$A$49,products!$E$2:$E$49,0)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_xlfn.XLOOKUP(orders!C386,customers!$A$1:$A$1001,customers!$G$1:$G$1001,0)</f>
        <v>United States</v>
      </c>
      <c r="I386" t="str">
        <f>_xlfn.XLOOKUP(D386,products!$A$2:$A$49,products!$B$2:$B$49,0)</f>
        <v>Ara</v>
      </c>
      <c r="J386" t="str">
        <f>_xlfn.XLOOKUP(D386,products!$A$2:$A$49,products!$C$2:$C$49,0)</f>
        <v>L</v>
      </c>
      <c r="K386" s="4">
        <f>_xlfn.XLOOKUP(D386,products!$A$2:$A$49,products!$D$2:$D$49,0)</f>
        <v>2.5</v>
      </c>
      <c r="L386" s="5">
        <f>_xlfn.XLOOKUP(D386,products!$A$2:$A$49,products!$E$2:$E$49,0)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_xlfn.XLOOKUP(orders!C387,customers!$A$1:$A$1001,customers!$G$1:$G$1001,0)</f>
        <v>United States</v>
      </c>
      <c r="I387" t="str">
        <f>_xlfn.XLOOKUP(D387,products!$A$2:$A$49,products!$B$2:$B$49,0)</f>
        <v>Lib</v>
      </c>
      <c r="J387" t="str">
        <f>_xlfn.XLOOKUP(D387,products!$A$2:$A$49,products!$C$2:$C$49,0)</f>
        <v>M</v>
      </c>
      <c r="K387" s="4">
        <f>_xlfn.XLOOKUP(D387,products!$A$2:$A$49,products!$D$2:$D$49,0)</f>
        <v>0.5</v>
      </c>
      <c r="L387" s="5">
        <f>_xlfn.XLOOKUP(D387,products!$A$2:$A$49,products!$E$2:$E$49,0)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_xlfn.XLOOKUP(orders!C388,customers!$A$1:$A$1001,customers!$G$1:$G$1001,0)</f>
        <v>United States</v>
      </c>
      <c r="I388" t="str">
        <f>_xlfn.XLOOKUP(D388,products!$A$2:$A$49,products!$B$2:$B$49,0)</f>
        <v>Ara</v>
      </c>
      <c r="J388" t="str">
        <f>_xlfn.XLOOKUP(D388,products!$A$2:$A$49,products!$C$2:$C$49,0)</f>
        <v>D</v>
      </c>
      <c r="K388" s="4">
        <f>_xlfn.XLOOKUP(D388,products!$A$2:$A$49,products!$D$2:$D$49,0)</f>
        <v>0.2</v>
      </c>
      <c r="L388" s="5">
        <f>_xlfn.XLOOKUP(D388,products!$A$2:$A$49,products!$E$2:$E$49,0)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_xlfn.XLOOKUP(orders!C389,customers!$A$1:$A$1001,customers!$G$1:$G$1001,0)</f>
        <v>United States</v>
      </c>
      <c r="I389" t="str">
        <f>_xlfn.XLOOKUP(D389,products!$A$2:$A$49,products!$B$2:$B$49,0)</f>
        <v>Exc</v>
      </c>
      <c r="J389" t="str">
        <f>_xlfn.XLOOKUP(D389,products!$A$2:$A$49,products!$C$2:$C$49,0)</f>
        <v>L</v>
      </c>
      <c r="K389" s="4">
        <f>_xlfn.XLOOKUP(D389,products!$A$2:$A$49,products!$D$2:$D$49,0)</f>
        <v>1</v>
      </c>
      <c r="L389" s="5">
        <f>_xlfn.XLOOKUP(D389,products!$A$2:$A$49,products!$E$2:$E$49,0)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_xlfn.XLOOKUP(orders!C390,customers!$A$1:$A$1001,customers!$G$1:$G$1001,0)</f>
        <v>United States</v>
      </c>
      <c r="I390" t="str">
        <f>_xlfn.XLOOKUP(D390,products!$A$2:$A$49,products!$B$2:$B$49,0)</f>
        <v>Lib</v>
      </c>
      <c r="J390" t="str">
        <f>_xlfn.XLOOKUP(D390,products!$A$2:$A$49,products!$C$2:$C$49,0)</f>
        <v>D</v>
      </c>
      <c r="K390" s="4">
        <f>_xlfn.XLOOKUP(D390,products!$A$2:$A$49,products!$D$2:$D$49,0)</f>
        <v>0.2</v>
      </c>
      <c r="L390" s="5">
        <f>_xlfn.XLOOKUP(D390,products!$A$2:$A$49,products!$E$2:$E$49,0)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_xlfn.XLOOKUP(orders!C391,customers!$A$1:$A$1001,customers!$G$1:$G$1001,0)</f>
        <v>United States</v>
      </c>
      <c r="I391" t="str">
        <f>_xlfn.XLOOKUP(D391,products!$A$2:$A$49,products!$B$2:$B$49,0)</f>
        <v>Lib</v>
      </c>
      <c r="J391" t="str">
        <f>_xlfn.XLOOKUP(D391,products!$A$2:$A$49,products!$C$2:$C$49,0)</f>
        <v>D</v>
      </c>
      <c r="K391" s="4">
        <f>_xlfn.XLOOKUP(D391,products!$A$2:$A$49,products!$D$2:$D$49,0)</f>
        <v>0.5</v>
      </c>
      <c r="L391" s="5">
        <f>_xlfn.XLOOKUP(D391,products!$A$2:$A$49,products!$E$2:$E$49,0)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_xlfn.XLOOKUP(orders!C392,customers!$A$1:$A$1001,customers!$G$1:$G$1001,0)</f>
        <v>United States</v>
      </c>
      <c r="I392" t="str">
        <f>_xlfn.XLOOKUP(D392,products!$A$2:$A$49,products!$B$2:$B$49,0)</f>
        <v>Exc</v>
      </c>
      <c r="J392" t="str">
        <f>_xlfn.XLOOKUP(D392,products!$A$2:$A$49,products!$C$2:$C$49,0)</f>
        <v>D</v>
      </c>
      <c r="K392" s="4">
        <f>_xlfn.XLOOKUP(D392,products!$A$2:$A$49,products!$D$2:$D$49,0)</f>
        <v>0.5</v>
      </c>
      <c r="L392" s="5">
        <f>_xlfn.XLOOKUP(D392,products!$A$2:$A$49,products!$E$2:$E$49,0)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_xlfn.XLOOKUP(orders!C393,customers!$A$1:$A$1001,customers!$G$1:$G$1001,0)</f>
        <v>United States</v>
      </c>
      <c r="I393" t="str">
        <f>_xlfn.XLOOKUP(D393,products!$A$2:$A$49,products!$B$2:$B$49,0)</f>
        <v>Ara</v>
      </c>
      <c r="J393" t="str">
        <f>_xlfn.XLOOKUP(D393,products!$A$2:$A$49,products!$C$2:$C$49,0)</f>
        <v>M</v>
      </c>
      <c r="K393" s="4">
        <f>_xlfn.XLOOKUP(D393,products!$A$2:$A$49,products!$D$2:$D$49,0)</f>
        <v>0.5</v>
      </c>
      <c r="L393" s="5">
        <f>_xlfn.XLOOKUP(D393,products!$A$2:$A$49,products!$E$2:$E$49,0)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_xlfn.XLOOKUP(orders!C394,customers!$A$1:$A$1001,customers!$G$1:$G$1001,0)</f>
        <v>United States</v>
      </c>
      <c r="I394" t="str">
        <f>_xlfn.XLOOKUP(D394,products!$A$2:$A$49,products!$B$2:$B$49,0)</f>
        <v>Exc</v>
      </c>
      <c r="J394" t="str">
        <f>_xlfn.XLOOKUP(D394,products!$A$2:$A$49,products!$C$2:$C$49,0)</f>
        <v>L</v>
      </c>
      <c r="K394" s="4">
        <f>_xlfn.XLOOKUP(D394,products!$A$2:$A$49,products!$D$2:$D$49,0)</f>
        <v>1</v>
      </c>
      <c r="L394" s="5">
        <f>_xlfn.XLOOKUP(D394,products!$A$2:$A$49,products!$E$2:$E$49,0)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_xlfn.XLOOKUP(orders!C395,customers!$A$1:$A$1001,customers!$G$1:$G$1001,0)</f>
        <v>United States</v>
      </c>
      <c r="I395" t="str">
        <f>_xlfn.XLOOKUP(D395,products!$A$2:$A$49,products!$B$2:$B$49,0)</f>
        <v>Ara</v>
      </c>
      <c r="J395" t="str">
        <f>_xlfn.XLOOKUP(D395,products!$A$2:$A$49,products!$C$2:$C$49,0)</f>
        <v>L</v>
      </c>
      <c r="K395" s="4">
        <f>_xlfn.XLOOKUP(D395,products!$A$2:$A$49,products!$D$2:$D$49,0)</f>
        <v>0.2</v>
      </c>
      <c r="L395" s="5">
        <f>_xlfn.XLOOKUP(D395,products!$A$2:$A$49,products!$E$2:$E$49,0)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_xlfn.XLOOKUP(orders!C396,customers!$A$1:$A$1001,customers!$G$1:$G$1001,0)</f>
        <v>United States</v>
      </c>
      <c r="I396" t="str">
        <f>_xlfn.XLOOKUP(D396,products!$A$2:$A$49,products!$B$2:$B$49,0)</f>
        <v>Rob</v>
      </c>
      <c r="J396" t="str">
        <f>_xlfn.XLOOKUP(D396,products!$A$2:$A$49,products!$C$2:$C$49,0)</f>
        <v>L</v>
      </c>
      <c r="K396" s="4">
        <f>_xlfn.XLOOKUP(D396,products!$A$2:$A$49,products!$D$2:$D$49,0)</f>
        <v>2.5</v>
      </c>
      <c r="L396" s="5">
        <f>_xlfn.XLOOKUP(D396,products!$A$2:$A$49,products!$E$2:$E$49,0)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_xlfn.XLOOKUP(orders!C397,customers!$A$1:$A$1001,customers!$G$1:$G$1001,0)</f>
        <v>United States</v>
      </c>
      <c r="I397" t="str">
        <f>_xlfn.XLOOKUP(D397,products!$A$2:$A$49,products!$B$2:$B$49,0)</f>
        <v>Lib</v>
      </c>
      <c r="J397" t="str">
        <f>_xlfn.XLOOKUP(D397,products!$A$2:$A$49,products!$C$2:$C$49,0)</f>
        <v>D</v>
      </c>
      <c r="K397" s="4">
        <f>_xlfn.XLOOKUP(D397,products!$A$2:$A$49,products!$D$2:$D$49,0)</f>
        <v>0.5</v>
      </c>
      <c r="L397" s="5">
        <f>_xlfn.XLOOKUP(D397,products!$A$2:$A$49,products!$E$2:$E$49,0)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_xlfn.XLOOKUP(orders!C398,customers!$A$1:$A$1001,customers!$G$1:$G$1001,0)</f>
        <v>United States</v>
      </c>
      <c r="I398" t="str">
        <f>_xlfn.XLOOKUP(D398,products!$A$2:$A$49,products!$B$2:$B$49,0)</f>
        <v>Ara</v>
      </c>
      <c r="J398" t="str">
        <f>_xlfn.XLOOKUP(D398,products!$A$2:$A$49,products!$C$2:$C$49,0)</f>
        <v>L</v>
      </c>
      <c r="K398" s="4">
        <f>_xlfn.XLOOKUP(D398,products!$A$2:$A$49,products!$D$2:$D$49,0)</f>
        <v>0.5</v>
      </c>
      <c r="L398" s="5">
        <f>_xlfn.XLOOKUP(D398,products!$A$2:$A$49,products!$E$2:$E$49,0)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_xlfn.XLOOKUP(orders!C399,customers!$A$1:$A$1001,customers!$G$1:$G$1001,0)</f>
        <v>United States</v>
      </c>
      <c r="I399" t="str">
        <f>_xlfn.XLOOKUP(D399,products!$A$2:$A$49,products!$B$2:$B$49,0)</f>
        <v>Lib</v>
      </c>
      <c r="J399" t="str">
        <f>_xlfn.XLOOKUP(D399,products!$A$2:$A$49,products!$C$2:$C$49,0)</f>
        <v>D</v>
      </c>
      <c r="K399" s="4">
        <f>_xlfn.XLOOKUP(D399,products!$A$2:$A$49,products!$D$2:$D$49,0)</f>
        <v>0.5</v>
      </c>
      <c r="L399" s="5">
        <f>_xlfn.XLOOKUP(D399,products!$A$2:$A$49,products!$E$2:$E$49,0)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_xlfn.XLOOKUP(orders!C400,customers!$A$1:$A$1001,customers!$G$1:$G$1001,0)</f>
        <v>United States</v>
      </c>
      <c r="I400" t="str">
        <f>_xlfn.XLOOKUP(D400,products!$A$2:$A$49,products!$B$2:$B$49,0)</f>
        <v>Ara</v>
      </c>
      <c r="J400" t="str">
        <f>_xlfn.XLOOKUP(D400,products!$A$2:$A$49,products!$C$2:$C$49,0)</f>
        <v>D</v>
      </c>
      <c r="K400" s="4">
        <f>_xlfn.XLOOKUP(D400,products!$A$2:$A$49,products!$D$2:$D$49,0)</f>
        <v>0.2</v>
      </c>
      <c r="L400" s="5">
        <f>_xlfn.XLOOKUP(D400,products!$A$2:$A$49,products!$E$2:$E$49,0)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_xlfn.XLOOKUP(orders!C401,customers!$A$1:$A$1001,customers!$G$1:$G$1001,0)</f>
        <v>United Kingdom</v>
      </c>
      <c r="I401" t="str">
        <f>_xlfn.XLOOKUP(D401,products!$A$2:$A$49,products!$B$2:$B$49,0)</f>
        <v>Exc</v>
      </c>
      <c r="J401" t="str">
        <f>_xlfn.XLOOKUP(D401,products!$A$2:$A$49,products!$C$2:$C$49,0)</f>
        <v>D</v>
      </c>
      <c r="K401" s="4">
        <f>_xlfn.XLOOKUP(D401,products!$A$2:$A$49,products!$D$2:$D$49,0)</f>
        <v>2.5</v>
      </c>
      <c r="L401" s="5">
        <f>_xlfn.XLOOKUP(D401,products!$A$2:$A$49,products!$E$2:$E$49,0)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_xlfn.XLOOKUP(orders!C402,customers!$A$1:$A$1001,customers!$G$1:$G$1001,0)</f>
        <v>United States</v>
      </c>
      <c r="I402" t="str">
        <f>_xlfn.XLOOKUP(D402,products!$A$2:$A$49,products!$B$2:$B$49,0)</f>
        <v>Lib</v>
      </c>
      <c r="J402" t="str">
        <f>_xlfn.XLOOKUP(D402,products!$A$2:$A$49,products!$C$2:$C$49,0)</f>
        <v>L</v>
      </c>
      <c r="K402" s="4">
        <f>_xlfn.XLOOKUP(D402,products!$A$2:$A$49,products!$D$2:$D$49,0)</f>
        <v>1</v>
      </c>
      <c r="L402" s="5">
        <f>_xlfn.XLOOKUP(D402,products!$A$2:$A$49,products!$E$2:$E$49,0)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_xlfn.XLOOKUP(orders!C403,customers!$A$1:$A$1001,customers!$G$1:$G$1001,0)</f>
        <v>United States</v>
      </c>
      <c r="I403" t="str">
        <f>_xlfn.XLOOKUP(D403,products!$A$2:$A$49,products!$B$2:$B$49,0)</f>
        <v>Lib</v>
      </c>
      <c r="J403" t="str">
        <f>_xlfn.XLOOKUP(D403,products!$A$2:$A$49,products!$C$2:$C$49,0)</f>
        <v>M</v>
      </c>
      <c r="K403" s="4">
        <f>_xlfn.XLOOKUP(D403,products!$A$2:$A$49,products!$D$2:$D$49,0)</f>
        <v>0.2</v>
      </c>
      <c r="L403" s="5">
        <f>_xlfn.XLOOKUP(D403,products!$A$2:$A$49,products!$E$2:$E$49,0)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_xlfn.XLOOKUP(orders!C404,customers!$A$1:$A$1001,customers!$G$1:$G$1001,0)</f>
        <v>United States</v>
      </c>
      <c r="I404" t="str">
        <f>_xlfn.XLOOKUP(D404,products!$A$2:$A$49,products!$B$2:$B$49,0)</f>
        <v>Rob</v>
      </c>
      <c r="J404" t="str">
        <f>_xlfn.XLOOKUP(D404,products!$A$2:$A$49,products!$C$2:$C$49,0)</f>
        <v>D</v>
      </c>
      <c r="K404" s="4">
        <f>_xlfn.XLOOKUP(D404,products!$A$2:$A$49,products!$D$2:$D$49,0)</f>
        <v>1</v>
      </c>
      <c r="L404" s="5">
        <f>_xlfn.XLOOKUP(D404,products!$A$2:$A$49,products!$E$2:$E$49,0)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_xlfn.XLOOKUP(orders!C405,customers!$A$1:$A$1001,customers!$G$1:$G$1001,0)</f>
        <v>United States</v>
      </c>
      <c r="I405" t="str">
        <f>_xlfn.XLOOKUP(D405,products!$A$2:$A$49,products!$B$2:$B$49,0)</f>
        <v>Lib</v>
      </c>
      <c r="J405" t="str">
        <f>_xlfn.XLOOKUP(D405,products!$A$2:$A$49,products!$C$2:$C$49,0)</f>
        <v>L</v>
      </c>
      <c r="K405" s="4">
        <f>_xlfn.XLOOKUP(D405,products!$A$2:$A$49,products!$D$2:$D$49,0)</f>
        <v>0.2</v>
      </c>
      <c r="L405" s="5">
        <f>_xlfn.XLOOKUP(D405,products!$A$2:$A$49,products!$E$2:$E$49,0)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_xlfn.XLOOKUP(orders!C406,customers!$A$1:$A$1001,customers!$G$1:$G$1001,0)</f>
        <v>Ireland</v>
      </c>
      <c r="I406" t="str">
        <f>_xlfn.XLOOKUP(D406,products!$A$2:$A$49,products!$B$2:$B$49,0)</f>
        <v>Ara</v>
      </c>
      <c r="J406" t="str">
        <f>_xlfn.XLOOKUP(D406,products!$A$2:$A$49,products!$C$2:$C$49,0)</f>
        <v>D</v>
      </c>
      <c r="K406" s="4">
        <f>_xlfn.XLOOKUP(D406,products!$A$2:$A$49,products!$D$2:$D$49,0)</f>
        <v>1</v>
      </c>
      <c r="L406" s="5">
        <f>_xlfn.XLOOKUP(D406,products!$A$2:$A$49,products!$E$2:$E$49,0)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_xlfn.XLOOKUP(orders!C407,customers!$A$1:$A$1001,customers!$G$1:$G$1001,0)</f>
        <v>United States</v>
      </c>
      <c r="I407" t="str">
        <f>_xlfn.XLOOKUP(D407,products!$A$2:$A$49,products!$B$2:$B$49,0)</f>
        <v>Exc</v>
      </c>
      <c r="J407" t="str">
        <f>_xlfn.XLOOKUP(D407,products!$A$2:$A$49,products!$C$2:$C$49,0)</f>
        <v>M</v>
      </c>
      <c r="K407" s="4">
        <f>_xlfn.XLOOKUP(D407,products!$A$2:$A$49,products!$D$2:$D$49,0)</f>
        <v>0.5</v>
      </c>
      <c r="L407" s="5">
        <f>_xlfn.XLOOKUP(D407,products!$A$2:$A$49,products!$E$2:$E$49,0)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_xlfn.XLOOKUP(orders!C408,customers!$A$1:$A$1001,customers!$G$1:$G$1001,0)</f>
        <v>United States</v>
      </c>
      <c r="I408" t="str">
        <f>_xlfn.XLOOKUP(D408,products!$A$2:$A$49,products!$B$2:$B$49,0)</f>
        <v>Exc</v>
      </c>
      <c r="J408" t="str">
        <f>_xlfn.XLOOKUP(D408,products!$A$2:$A$49,products!$C$2:$C$49,0)</f>
        <v>M</v>
      </c>
      <c r="K408" s="4">
        <f>_xlfn.XLOOKUP(D408,products!$A$2:$A$49,products!$D$2:$D$49,0)</f>
        <v>1</v>
      </c>
      <c r="L408" s="5">
        <f>_xlfn.XLOOKUP(D408,products!$A$2:$A$49,products!$E$2:$E$49,0)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_xlfn.XLOOKUP(orders!C409,customers!$A$1:$A$1001,customers!$G$1:$G$1001,0)</f>
        <v>Ireland</v>
      </c>
      <c r="I409" t="str">
        <f>_xlfn.XLOOKUP(D409,products!$A$2:$A$49,products!$B$2:$B$49,0)</f>
        <v>Exc</v>
      </c>
      <c r="J409" t="str">
        <f>_xlfn.XLOOKUP(D409,products!$A$2:$A$49,products!$C$2:$C$49,0)</f>
        <v>M</v>
      </c>
      <c r="K409" s="4">
        <f>_xlfn.XLOOKUP(D409,products!$A$2:$A$49,products!$D$2:$D$49,0)</f>
        <v>0.5</v>
      </c>
      <c r="L409" s="5">
        <f>_xlfn.XLOOKUP(D409,products!$A$2:$A$49,products!$E$2:$E$49,0)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_xlfn.XLOOKUP(orders!C410,customers!$A$1:$A$1001,customers!$G$1:$G$1001,0)</f>
        <v>United States</v>
      </c>
      <c r="I410" t="str">
        <f>_xlfn.XLOOKUP(D410,products!$A$2:$A$49,products!$B$2:$B$49,0)</f>
        <v>Ara</v>
      </c>
      <c r="J410" t="str">
        <f>_xlfn.XLOOKUP(D410,products!$A$2:$A$49,products!$C$2:$C$49,0)</f>
        <v>M</v>
      </c>
      <c r="K410" s="4">
        <f>_xlfn.XLOOKUP(D410,products!$A$2:$A$49,products!$D$2:$D$49,0)</f>
        <v>2.5</v>
      </c>
      <c r="L410" s="5">
        <f>_xlfn.XLOOKUP(D410,products!$A$2:$A$49,products!$E$2:$E$49,0)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_xlfn.XLOOKUP(orders!C411,customers!$A$1:$A$1001,customers!$G$1:$G$1001,0)</f>
        <v>Ireland</v>
      </c>
      <c r="I411" t="str">
        <f>_xlfn.XLOOKUP(D411,products!$A$2:$A$49,products!$B$2:$B$49,0)</f>
        <v>Lib</v>
      </c>
      <c r="J411" t="str">
        <f>_xlfn.XLOOKUP(D411,products!$A$2:$A$49,products!$C$2:$C$49,0)</f>
        <v>L</v>
      </c>
      <c r="K411" s="4">
        <f>_xlfn.XLOOKUP(D411,products!$A$2:$A$49,products!$D$2:$D$49,0)</f>
        <v>1</v>
      </c>
      <c r="L411" s="5">
        <f>_xlfn.XLOOKUP(D411,products!$A$2:$A$49,products!$E$2:$E$49,0)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_xlfn.XLOOKUP(orders!C412,customers!$A$1:$A$1001,customers!$G$1:$G$1001,0)</f>
        <v>United States</v>
      </c>
      <c r="I412" t="str">
        <f>_xlfn.XLOOKUP(D412,products!$A$2:$A$49,products!$B$2:$B$49,0)</f>
        <v>Ara</v>
      </c>
      <c r="J412" t="str">
        <f>_xlfn.XLOOKUP(D412,products!$A$2:$A$49,products!$C$2:$C$49,0)</f>
        <v>L</v>
      </c>
      <c r="K412" s="4">
        <f>_xlfn.XLOOKUP(D412,products!$A$2:$A$49,products!$D$2:$D$49,0)</f>
        <v>0.2</v>
      </c>
      <c r="L412" s="5">
        <f>_xlfn.XLOOKUP(D412,products!$A$2:$A$49,products!$E$2:$E$49,0)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_xlfn.XLOOKUP(orders!C413,customers!$A$1:$A$1001,customers!$G$1:$G$1001,0)</f>
        <v>United States</v>
      </c>
      <c r="I413" t="str">
        <f>_xlfn.XLOOKUP(D413,products!$A$2:$A$49,products!$B$2:$B$49,0)</f>
        <v>Lib</v>
      </c>
      <c r="J413" t="str">
        <f>_xlfn.XLOOKUP(D413,products!$A$2:$A$49,products!$C$2:$C$49,0)</f>
        <v>M</v>
      </c>
      <c r="K413" s="4">
        <f>_xlfn.XLOOKUP(D413,products!$A$2:$A$49,products!$D$2:$D$49,0)</f>
        <v>1</v>
      </c>
      <c r="L413" s="5">
        <f>_xlfn.XLOOKUP(D413,products!$A$2:$A$49,products!$E$2:$E$49,0)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_xlfn.XLOOKUP(orders!C414,customers!$A$1:$A$1001,customers!$G$1:$G$1001,0)</f>
        <v>United States</v>
      </c>
      <c r="I414" t="str">
        <f>_xlfn.XLOOKUP(D414,products!$A$2:$A$49,products!$B$2:$B$49,0)</f>
        <v>Ara</v>
      </c>
      <c r="J414" t="str">
        <f>_xlfn.XLOOKUP(D414,products!$A$2:$A$49,products!$C$2:$C$49,0)</f>
        <v>M</v>
      </c>
      <c r="K414" s="4">
        <f>_xlfn.XLOOKUP(D414,products!$A$2:$A$49,products!$D$2:$D$49,0)</f>
        <v>1</v>
      </c>
      <c r="L414" s="5">
        <f>_xlfn.XLOOKUP(D414,products!$A$2:$A$49,products!$E$2:$E$49,0)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_xlfn.XLOOKUP(orders!C415,customers!$A$1:$A$1001,customers!$G$1:$G$1001,0)</f>
        <v>United States</v>
      </c>
      <c r="I415" t="str">
        <f>_xlfn.XLOOKUP(D415,products!$A$2:$A$49,products!$B$2:$B$49,0)</f>
        <v>Lib</v>
      </c>
      <c r="J415" t="str">
        <f>_xlfn.XLOOKUP(D415,products!$A$2:$A$49,products!$C$2:$C$49,0)</f>
        <v>L</v>
      </c>
      <c r="K415" s="4">
        <f>_xlfn.XLOOKUP(D415,products!$A$2:$A$49,products!$D$2:$D$49,0)</f>
        <v>2.5</v>
      </c>
      <c r="L415" s="5">
        <f>_xlfn.XLOOKUP(D415,products!$A$2:$A$49,products!$E$2:$E$49,0)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_xlfn.XLOOKUP(orders!C416,customers!$A$1:$A$1001,customers!$G$1:$G$1001,0)</f>
        <v>United States</v>
      </c>
      <c r="I416" t="str">
        <f>_xlfn.XLOOKUP(D416,products!$A$2:$A$49,products!$B$2:$B$49,0)</f>
        <v>Rob</v>
      </c>
      <c r="J416" t="str">
        <f>_xlfn.XLOOKUP(D416,products!$A$2:$A$49,products!$C$2:$C$49,0)</f>
        <v>L</v>
      </c>
      <c r="K416" s="4">
        <f>_xlfn.XLOOKUP(D416,products!$A$2:$A$49,products!$D$2:$D$49,0)</f>
        <v>0.2</v>
      </c>
      <c r="L416" s="5">
        <f>_xlfn.XLOOKUP(D416,products!$A$2:$A$49,products!$E$2:$E$49,0)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_xlfn.XLOOKUP(orders!C417,customers!$A$1:$A$1001,customers!$G$1:$G$1001,0)</f>
        <v>United States</v>
      </c>
      <c r="I417" t="str">
        <f>_xlfn.XLOOKUP(D417,products!$A$2:$A$49,products!$B$2:$B$49,0)</f>
        <v>Rob</v>
      </c>
      <c r="J417" t="str">
        <f>_xlfn.XLOOKUP(D417,products!$A$2:$A$49,products!$C$2:$C$49,0)</f>
        <v>M</v>
      </c>
      <c r="K417" s="4">
        <f>_xlfn.XLOOKUP(D417,products!$A$2:$A$49,products!$D$2:$D$49,0)</f>
        <v>0.2</v>
      </c>
      <c r="L417" s="5">
        <f>_xlfn.XLOOKUP(D417,products!$A$2:$A$49,products!$E$2:$E$49,0)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_xlfn.XLOOKUP(orders!C418,customers!$A$1:$A$1001,customers!$G$1:$G$1001,0)</f>
        <v>United States</v>
      </c>
      <c r="I418" t="str">
        <f>_xlfn.XLOOKUP(D418,products!$A$2:$A$49,products!$B$2:$B$49,0)</f>
        <v>Ara</v>
      </c>
      <c r="J418" t="str">
        <f>_xlfn.XLOOKUP(D418,products!$A$2:$A$49,products!$C$2:$C$49,0)</f>
        <v>L</v>
      </c>
      <c r="K418" s="4">
        <f>_xlfn.XLOOKUP(D418,products!$A$2:$A$49,products!$D$2:$D$49,0)</f>
        <v>0.5</v>
      </c>
      <c r="L418" s="5">
        <f>_xlfn.XLOOKUP(D418,products!$A$2:$A$49,products!$E$2:$E$49,0)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_xlfn.XLOOKUP(orders!C419,customers!$A$1:$A$1001,customers!$G$1:$G$1001,0)</f>
        <v>United States</v>
      </c>
      <c r="I419" t="str">
        <f>_xlfn.XLOOKUP(D419,products!$A$2:$A$49,products!$B$2:$B$49,0)</f>
        <v>Ara</v>
      </c>
      <c r="J419" t="str">
        <f>_xlfn.XLOOKUP(D419,products!$A$2:$A$49,products!$C$2:$C$49,0)</f>
        <v>L</v>
      </c>
      <c r="K419" s="4">
        <f>_xlfn.XLOOKUP(D419,products!$A$2:$A$49,products!$D$2:$D$49,0)</f>
        <v>2.5</v>
      </c>
      <c r="L419" s="5">
        <f>_xlfn.XLOOKUP(D419,products!$A$2:$A$49,products!$E$2:$E$49,0)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_xlfn.XLOOKUP(orders!C420,customers!$A$1:$A$1001,customers!$G$1:$G$1001,0)</f>
        <v>United States</v>
      </c>
      <c r="I420" t="str">
        <f>_xlfn.XLOOKUP(D420,products!$A$2:$A$49,products!$B$2:$B$49,0)</f>
        <v>Ara</v>
      </c>
      <c r="J420" t="str">
        <f>_xlfn.XLOOKUP(D420,products!$A$2:$A$49,products!$C$2:$C$49,0)</f>
        <v>L</v>
      </c>
      <c r="K420" s="4">
        <f>_xlfn.XLOOKUP(D420,products!$A$2:$A$49,products!$D$2:$D$49,0)</f>
        <v>2.5</v>
      </c>
      <c r="L420" s="5">
        <f>_xlfn.XLOOKUP(D420,products!$A$2:$A$49,products!$E$2:$E$49,0)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_xlfn.XLOOKUP(orders!C421,customers!$A$1:$A$1001,customers!$G$1:$G$1001,0)</f>
        <v>United States</v>
      </c>
      <c r="I421" t="str">
        <f>_xlfn.XLOOKUP(D421,products!$A$2:$A$49,products!$B$2:$B$49,0)</f>
        <v>Lib</v>
      </c>
      <c r="J421" t="str">
        <f>_xlfn.XLOOKUP(D421,products!$A$2:$A$49,products!$C$2:$C$49,0)</f>
        <v>M</v>
      </c>
      <c r="K421" s="4">
        <f>_xlfn.XLOOKUP(D421,products!$A$2:$A$49,products!$D$2:$D$49,0)</f>
        <v>0.5</v>
      </c>
      <c r="L421" s="5">
        <f>_xlfn.XLOOKUP(D421,products!$A$2:$A$49,products!$E$2:$E$49,0)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_xlfn.XLOOKUP(orders!C422,customers!$A$1:$A$1001,customers!$G$1:$G$1001,0)</f>
        <v>United States</v>
      </c>
      <c r="I422" t="str">
        <f>_xlfn.XLOOKUP(D422,products!$A$2:$A$49,products!$B$2:$B$49,0)</f>
        <v>Lib</v>
      </c>
      <c r="J422" t="str">
        <f>_xlfn.XLOOKUP(D422,products!$A$2:$A$49,products!$C$2:$C$49,0)</f>
        <v>D</v>
      </c>
      <c r="K422" s="4">
        <f>_xlfn.XLOOKUP(D422,products!$A$2:$A$49,products!$D$2:$D$49,0)</f>
        <v>0.5</v>
      </c>
      <c r="L422" s="5">
        <f>_xlfn.XLOOKUP(D422,products!$A$2:$A$49,products!$E$2:$E$49,0)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_xlfn.XLOOKUP(orders!C423,customers!$A$1:$A$1001,customers!$G$1:$G$1001,0)</f>
        <v>United States</v>
      </c>
      <c r="I423" t="str">
        <f>_xlfn.XLOOKUP(D423,products!$A$2:$A$49,products!$B$2:$B$49,0)</f>
        <v>Ara</v>
      </c>
      <c r="J423" t="str">
        <f>_xlfn.XLOOKUP(D423,products!$A$2:$A$49,products!$C$2:$C$49,0)</f>
        <v>D</v>
      </c>
      <c r="K423" s="4">
        <f>_xlfn.XLOOKUP(D423,products!$A$2:$A$49,products!$D$2:$D$49,0)</f>
        <v>2.5</v>
      </c>
      <c r="L423" s="5">
        <f>_xlfn.XLOOKUP(D423,products!$A$2:$A$49,products!$E$2:$E$49,0)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_xlfn.XLOOKUP(orders!C424,customers!$A$1:$A$1001,customers!$G$1:$G$1001,0)</f>
        <v>United States</v>
      </c>
      <c r="I424" t="str">
        <f>_xlfn.XLOOKUP(D424,products!$A$2:$A$49,products!$B$2:$B$49,0)</f>
        <v>Ara</v>
      </c>
      <c r="J424" t="str">
        <f>_xlfn.XLOOKUP(D424,products!$A$2:$A$49,products!$C$2:$C$49,0)</f>
        <v>D</v>
      </c>
      <c r="K424" s="4">
        <f>_xlfn.XLOOKUP(D424,products!$A$2:$A$49,products!$D$2:$D$49,0)</f>
        <v>0.5</v>
      </c>
      <c r="L424" s="5">
        <f>_xlfn.XLOOKUP(D424,products!$A$2:$A$49,products!$E$2:$E$49,0)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_xlfn.XLOOKUP(orders!C425,customers!$A$1:$A$1001,customers!$G$1:$G$1001,0)</f>
        <v>United States</v>
      </c>
      <c r="I425" t="str">
        <f>_xlfn.XLOOKUP(D425,products!$A$2:$A$49,products!$B$2:$B$49,0)</f>
        <v>Rob</v>
      </c>
      <c r="J425" t="str">
        <f>_xlfn.XLOOKUP(D425,products!$A$2:$A$49,products!$C$2:$C$49,0)</f>
        <v>M</v>
      </c>
      <c r="K425" s="4">
        <f>_xlfn.XLOOKUP(D425,products!$A$2:$A$49,products!$D$2:$D$49,0)</f>
        <v>0.5</v>
      </c>
      <c r="L425" s="5">
        <f>_xlfn.XLOOKUP(D425,products!$A$2:$A$49,products!$E$2:$E$49,0)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_xlfn.XLOOKUP(orders!C426,customers!$A$1:$A$1001,customers!$G$1:$G$1001,0)</f>
        <v>United States</v>
      </c>
      <c r="I426" t="str">
        <f>_xlfn.XLOOKUP(D426,products!$A$2:$A$49,products!$B$2:$B$49,0)</f>
        <v>Exc</v>
      </c>
      <c r="J426" t="str">
        <f>_xlfn.XLOOKUP(D426,products!$A$2:$A$49,products!$C$2:$C$49,0)</f>
        <v>L</v>
      </c>
      <c r="K426" s="4">
        <f>_xlfn.XLOOKUP(D426,products!$A$2:$A$49,products!$D$2:$D$49,0)</f>
        <v>0.5</v>
      </c>
      <c r="L426" s="5">
        <f>_xlfn.XLOOKUP(D426,products!$A$2:$A$49,products!$E$2:$E$49,0)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_xlfn.XLOOKUP(orders!C427,customers!$A$1:$A$1001,customers!$G$1:$G$1001,0)</f>
        <v>United States</v>
      </c>
      <c r="I427" t="str">
        <f>_xlfn.XLOOKUP(D427,products!$A$2:$A$49,products!$B$2:$B$49,0)</f>
        <v>Rob</v>
      </c>
      <c r="J427" t="str">
        <f>_xlfn.XLOOKUP(D427,products!$A$2:$A$49,products!$C$2:$C$49,0)</f>
        <v>D</v>
      </c>
      <c r="K427" s="4">
        <f>_xlfn.XLOOKUP(D427,products!$A$2:$A$49,products!$D$2:$D$49,0)</f>
        <v>1</v>
      </c>
      <c r="L427" s="5">
        <f>_xlfn.XLOOKUP(D427,products!$A$2:$A$49,products!$E$2:$E$49,0)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_xlfn.XLOOKUP(orders!C428,customers!$A$1:$A$1001,customers!$G$1:$G$1001,0)</f>
        <v>Ireland</v>
      </c>
      <c r="I428" t="str">
        <f>_xlfn.XLOOKUP(D428,products!$A$2:$A$49,products!$B$2:$B$49,0)</f>
        <v>Rob</v>
      </c>
      <c r="J428" t="str">
        <f>_xlfn.XLOOKUP(D428,products!$A$2:$A$49,products!$C$2:$C$49,0)</f>
        <v>L</v>
      </c>
      <c r="K428" s="4">
        <f>_xlfn.XLOOKUP(D428,products!$A$2:$A$49,products!$D$2:$D$49,0)</f>
        <v>0.2</v>
      </c>
      <c r="L428" s="5">
        <f>_xlfn.XLOOKUP(D428,products!$A$2:$A$49,products!$E$2:$E$49,0)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_xlfn.XLOOKUP(orders!C429,customers!$A$1:$A$1001,customers!$G$1:$G$1001,0)</f>
        <v>United States</v>
      </c>
      <c r="I429" t="str">
        <f>_xlfn.XLOOKUP(D429,products!$A$2:$A$49,products!$B$2:$B$49,0)</f>
        <v>Ara</v>
      </c>
      <c r="J429" t="str">
        <f>_xlfn.XLOOKUP(D429,products!$A$2:$A$49,products!$C$2:$C$49,0)</f>
        <v>M</v>
      </c>
      <c r="K429" s="4">
        <f>_xlfn.XLOOKUP(D429,products!$A$2:$A$49,products!$D$2:$D$49,0)</f>
        <v>2.5</v>
      </c>
      <c r="L429" s="5">
        <f>_xlfn.XLOOKUP(D429,products!$A$2:$A$49,products!$E$2:$E$49,0)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_xlfn.XLOOKUP(orders!C430,customers!$A$1:$A$1001,customers!$G$1:$G$1001,0)</f>
        <v>United States</v>
      </c>
      <c r="I430" t="str">
        <f>_xlfn.XLOOKUP(D430,products!$A$2:$A$49,products!$B$2:$B$49,0)</f>
        <v>Rob</v>
      </c>
      <c r="J430" t="str">
        <f>_xlfn.XLOOKUP(D430,products!$A$2:$A$49,products!$C$2:$C$49,0)</f>
        <v>L</v>
      </c>
      <c r="K430" s="4">
        <f>_xlfn.XLOOKUP(D430,products!$A$2:$A$49,products!$D$2:$D$49,0)</f>
        <v>1</v>
      </c>
      <c r="L430" s="5">
        <f>_xlfn.XLOOKUP(D430,products!$A$2:$A$49,products!$E$2:$E$49,0)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_xlfn.XLOOKUP(orders!C431,customers!$A$1:$A$1001,customers!$G$1:$G$1001,0)</f>
        <v>United States</v>
      </c>
      <c r="I431" t="str">
        <f>_xlfn.XLOOKUP(D431,products!$A$2:$A$49,products!$B$2:$B$49,0)</f>
        <v>Ara</v>
      </c>
      <c r="J431" t="str">
        <f>_xlfn.XLOOKUP(D431,products!$A$2:$A$49,products!$C$2:$C$49,0)</f>
        <v>L</v>
      </c>
      <c r="K431" s="4">
        <f>_xlfn.XLOOKUP(D431,products!$A$2:$A$49,products!$D$2:$D$49,0)</f>
        <v>1</v>
      </c>
      <c r="L431" s="5">
        <f>_xlfn.XLOOKUP(D431,products!$A$2:$A$49,products!$E$2:$E$49,0)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_xlfn.XLOOKUP(orders!C432,customers!$A$1:$A$1001,customers!$G$1:$G$1001,0)</f>
        <v>United States</v>
      </c>
      <c r="I432" t="str">
        <f>_xlfn.XLOOKUP(D432,products!$A$2:$A$49,products!$B$2:$B$49,0)</f>
        <v>Rob</v>
      </c>
      <c r="J432" t="str">
        <f>_xlfn.XLOOKUP(D432,products!$A$2:$A$49,products!$C$2:$C$49,0)</f>
        <v>D</v>
      </c>
      <c r="K432" s="4">
        <f>_xlfn.XLOOKUP(D432,products!$A$2:$A$49,products!$D$2:$D$49,0)</f>
        <v>0.2</v>
      </c>
      <c r="L432" s="5">
        <f>_xlfn.XLOOKUP(D432,products!$A$2:$A$49,products!$E$2:$E$49,0)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_xlfn.XLOOKUP(orders!C433,customers!$A$1:$A$1001,customers!$G$1:$G$1001,0)</f>
        <v>Ireland</v>
      </c>
      <c r="I433" t="str">
        <f>_xlfn.XLOOKUP(D433,products!$A$2:$A$49,products!$B$2:$B$49,0)</f>
        <v>Exc</v>
      </c>
      <c r="J433" t="str">
        <f>_xlfn.XLOOKUP(D433,products!$A$2:$A$49,products!$C$2:$C$49,0)</f>
        <v>D</v>
      </c>
      <c r="K433" s="4">
        <f>_xlfn.XLOOKUP(D433,products!$A$2:$A$49,products!$D$2:$D$49,0)</f>
        <v>2.5</v>
      </c>
      <c r="L433" s="5">
        <f>_xlfn.XLOOKUP(D433,products!$A$2:$A$49,products!$E$2:$E$49,0)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_xlfn.XLOOKUP(orders!C434,customers!$A$1:$A$1001,customers!$G$1:$G$1001,0)</f>
        <v>United States</v>
      </c>
      <c r="I434" t="str">
        <f>_xlfn.XLOOKUP(D434,products!$A$2:$A$49,products!$B$2:$B$49,0)</f>
        <v>Ara</v>
      </c>
      <c r="J434" t="str">
        <f>_xlfn.XLOOKUP(D434,products!$A$2:$A$49,products!$C$2:$C$49,0)</f>
        <v>M</v>
      </c>
      <c r="K434" s="4">
        <f>_xlfn.XLOOKUP(D434,products!$A$2:$A$49,products!$D$2:$D$49,0)</f>
        <v>1</v>
      </c>
      <c r="L434" s="5">
        <f>_xlfn.XLOOKUP(D434,products!$A$2:$A$49,products!$E$2:$E$49,0)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_xlfn.XLOOKUP(orders!C435,customers!$A$1:$A$1001,customers!$G$1:$G$1001,0)</f>
        <v>United States</v>
      </c>
      <c r="I435" t="str">
        <f>_xlfn.XLOOKUP(D435,products!$A$2:$A$49,products!$B$2:$B$49,0)</f>
        <v>Lib</v>
      </c>
      <c r="J435" t="str">
        <f>_xlfn.XLOOKUP(D435,products!$A$2:$A$49,products!$C$2:$C$49,0)</f>
        <v>M</v>
      </c>
      <c r="K435" s="4">
        <f>_xlfn.XLOOKUP(D435,products!$A$2:$A$49,products!$D$2:$D$49,0)</f>
        <v>2.5</v>
      </c>
      <c r="L435" s="5">
        <f>_xlfn.XLOOKUP(D435,products!$A$2:$A$49,products!$E$2:$E$49,0)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_xlfn.XLOOKUP(orders!C436,customers!$A$1:$A$1001,customers!$G$1:$G$1001,0)</f>
        <v>United States</v>
      </c>
      <c r="I436" t="str">
        <f>_xlfn.XLOOKUP(D436,products!$A$2:$A$49,products!$B$2:$B$49,0)</f>
        <v>Ara</v>
      </c>
      <c r="J436" t="str">
        <f>_xlfn.XLOOKUP(D436,products!$A$2:$A$49,products!$C$2:$C$49,0)</f>
        <v>M</v>
      </c>
      <c r="K436" s="4">
        <f>_xlfn.XLOOKUP(D436,products!$A$2:$A$49,products!$D$2:$D$49,0)</f>
        <v>1</v>
      </c>
      <c r="L436" s="5">
        <f>_xlfn.XLOOKUP(D436,products!$A$2:$A$49,products!$E$2:$E$49,0)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_xlfn.XLOOKUP(orders!C437,customers!$A$1:$A$1001,customers!$G$1:$G$1001,0)</f>
        <v>United States</v>
      </c>
      <c r="I437" t="str">
        <f>_xlfn.XLOOKUP(D437,products!$A$2:$A$49,products!$B$2:$B$49,0)</f>
        <v>Exc</v>
      </c>
      <c r="J437" t="str">
        <f>_xlfn.XLOOKUP(D437,products!$A$2:$A$49,products!$C$2:$C$49,0)</f>
        <v>M</v>
      </c>
      <c r="K437" s="4">
        <f>_xlfn.XLOOKUP(D437,products!$A$2:$A$49,products!$D$2:$D$49,0)</f>
        <v>0.5</v>
      </c>
      <c r="L437" s="5">
        <f>_xlfn.XLOOKUP(D437,products!$A$2:$A$49,products!$E$2:$E$49,0)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_xlfn.XLOOKUP(orders!C438,customers!$A$1:$A$1001,customers!$G$1:$G$1001,0)</f>
        <v>United States</v>
      </c>
      <c r="I438" t="str">
        <f>_xlfn.XLOOKUP(D438,products!$A$2:$A$49,products!$B$2:$B$49,0)</f>
        <v>Lib</v>
      </c>
      <c r="J438" t="str">
        <f>_xlfn.XLOOKUP(D438,products!$A$2:$A$49,products!$C$2:$C$49,0)</f>
        <v>L</v>
      </c>
      <c r="K438" s="4">
        <f>_xlfn.XLOOKUP(D438,products!$A$2:$A$49,products!$D$2:$D$49,0)</f>
        <v>0.2</v>
      </c>
      <c r="L438" s="5">
        <f>_xlfn.XLOOKUP(D438,products!$A$2:$A$49,products!$E$2:$E$49,0)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_xlfn.XLOOKUP(orders!C439,customers!$A$1:$A$1001,customers!$G$1:$G$1001,0)</f>
        <v>United States</v>
      </c>
      <c r="I439" t="str">
        <f>_xlfn.XLOOKUP(D439,products!$A$2:$A$49,products!$B$2:$B$49,0)</f>
        <v>Lib</v>
      </c>
      <c r="J439" t="str">
        <f>_xlfn.XLOOKUP(D439,products!$A$2:$A$49,products!$C$2:$C$49,0)</f>
        <v>D</v>
      </c>
      <c r="K439" s="4">
        <f>_xlfn.XLOOKUP(D439,products!$A$2:$A$49,products!$D$2:$D$49,0)</f>
        <v>2.5</v>
      </c>
      <c r="L439" s="5">
        <f>_xlfn.XLOOKUP(D439,products!$A$2:$A$49,products!$E$2:$E$49,0)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_xlfn.XLOOKUP(orders!C440,customers!$A$1:$A$1001,customers!$G$1:$G$1001,0)</f>
        <v>United States</v>
      </c>
      <c r="I440" t="str">
        <f>_xlfn.XLOOKUP(D440,products!$A$2:$A$49,products!$B$2:$B$49,0)</f>
        <v>Lib</v>
      </c>
      <c r="J440" t="str">
        <f>_xlfn.XLOOKUP(D440,products!$A$2:$A$49,products!$C$2:$C$49,0)</f>
        <v>D</v>
      </c>
      <c r="K440" s="4">
        <f>_xlfn.XLOOKUP(D440,products!$A$2:$A$49,products!$D$2:$D$49,0)</f>
        <v>0.5</v>
      </c>
      <c r="L440" s="5">
        <f>_xlfn.XLOOKUP(D440,products!$A$2:$A$49,products!$E$2:$E$49,0)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_xlfn.XLOOKUP(orders!C441,customers!$A$1:$A$1001,customers!$G$1:$G$1001,0)</f>
        <v>Ireland</v>
      </c>
      <c r="I441" t="str">
        <f>_xlfn.XLOOKUP(D441,products!$A$2:$A$49,products!$B$2:$B$49,0)</f>
        <v>Exc</v>
      </c>
      <c r="J441" t="str">
        <f>_xlfn.XLOOKUP(D441,products!$A$2:$A$49,products!$C$2:$C$49,0)</f>
        <v>L</v>
      </c>
      <c r="K441" s="4">
        <f>_xlfn.XLOOKUP(D441,products!$A$2:$A$49,products!$D$2:$D$49,0)</f>
        <v>0.5</v>
      </c>
      <c r="L441" s="5">
        <f>_xlfn.XLOOKUP(D441,products!$A$2:$A$49,products!$E$2:$E$49,0)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_xlfn.XLOOKUP(orders!C442,customers!$A$1:$A$1001,customers!$G$1:$G$1001,0)</f>
        <v>United States</v>
      </c>
      <c r="I442" t="str">
        <f>_xlfn.XLOOKUP(D442,products!$A$2:$A$49,products!$B$2:$B$49,0)</f>
        <v>Ara</v>
      </c>
      <c r="J442" t="str">
        <f>_xlfn.XLOOKUP(D442,products!$A$2:$A$49,products!$C$2:$C$49,0)</f>
        <v>M</v>
      </c>
      <c r="K442" s="4">
        <f>_xlfn.XLOOKUP(D442,products!$A$2:$A$49,products!$D$2:$D$49,0)</f>
        <v>2.5</v>
      </c>
      <c r="L442" s="5">
        <f>_xlfn.XLOOKUP(D442,products!$A$2:$A$49,products!$E$2:$E$49,0)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_xlfn.XLOOKUP(orders!C443,customers!$A$1:$A$1001,customers!$G$1:$G$1001,0)</f>
        <v>Ireland</v>
      </c>
      <c r="I443" t="str">
        <f>_xlfn.XLOOKUP(D443,products!$A$2:$A$49,products!$B$2:$B$49,0)</f>
        <v>Exc</v>
      </c>
      <c r="J443" t="str">
        <f>_xlfn.XLOOKUP(D443,products!$A$2:$A$49,products!$C$2:$C$49,0)</f>
        <v>D</v>
      </c>
      <c r="K443" s="4">
        <f>_xlfn.XLOOKUP(D443,products!$A$2:$A$49,products!$D$2:$D$49,0)</f>
        <v>1</v>
      </c>
      <c r="L443" s="5">
        <f>_xlfn.XLOOKUP(D443,products!$A$2:$A$49,products!$E$2:$E$49,0)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_xlfn.XLOOKUP(orders!C444,customers!$A$1:$A$1001,customers!$G$1:$G$1001,0)</f>
        <v>United States</v>
      </c>
      <c r="I444" t="str">
        <f>_xlfn.XLOOKUP(D444,products!$A$2:$A$49,products!$B$2:$B$49,0)</f>
        <v>Rob</v>
      </c>
      <c r="J444" t="str">
        <f>_xlfn.XLOOKUP(D444,products!$A$2:$A$49,products!$C$2:$C$49,0)</f>
        <v>L</v>
      </c>
      <c r="K444" s="4">
        <f>_xlfn.XLOOKUP(D444,products!$A$2:$A$49,products!$D$2:$D$49,0)</f>
        <v>0.5</v>
      </c>
      <c r="L444" s="5">
        <f>_xlfn.XLOOKUP(D444,products!$A$2:$A$49,products!$E$2:$E$49,0)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_xlfn.XLOOKUP(orders!C445,customers!$A$1:$A$1001,customers!$G$1:$G$1001,0)</f>
        <v>Ireland</v>
      </c>
      <c r="I445" t="str">
        <f>_xlfn.XLOOKUP(D445,products!$A$2:$A$49,products!$B$2:$B$49,0)</f>
        <v>Exc</v>
      </c>
      <c r="J445" t="str">
        <f>_xlfn.XLOOKUP(D445,products!$A$2:$A$49,products!$C$2:$C$49,0)</f>
        <v>L</v>
      </c>
      <c r="K445" s="4">
        <f>_xlfn.XLOOKUP(D445,products!$A$2:$A$49,products!$D$2:$D$49,0)</f>
        <v>0.2</v>
      </c>
      <c r="L445" s="5">
        <f>_xlfn.XLOOKUP(D445,products!$A$2:$A$49,products!$E$2:$E$49,0)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_xlfn.XLOOKUP(orders!C446,customers!$A$1:$A$1001,customers!$G$1:$G$1001,0)</f>
        <v>Ireland</v>
      </c>
      <c r="I446" t="str">
        <f>_xlfn.XLOOKUP(D446,products!$A$2:$A$49,products!$B$2:$B$49,0)</f>
        <v>Exc</v>
      </c>
      <c r="J446" t="str">
        <f>_xlfn.XLOOKUP(D446,products!$A$2:$A$49,products!$C$2:$C$49,0)</f>
        <v>M</v>
      </c>
      <c r="K446" s="4">
        <f>_xlfn.XLOOKUP(D446,products!$A$2:$A$49,products!$D$2:$D$49,0)</f>
        <v>0.2</v>
      </c>
      <c r="L446" s="5">
        <f>_xlfn.XLOOKUP(D446,products!$A$2:$A$49,products!$E$2:$E$49,0)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_xlfn.XLOOKUP(orders!C447,customers!$A$1:$A$1001,customers!$G$1:$G$1001,0)</f>
        <v>Ireland</v>
      </c>
      <c r="I447" t="str">
        <f>_xlfn.XLOOKUP(D447,products!$A$2:$A$49,products!$B$2:$B$49,0)</f>
        <v>Lib</v>
      </c>
      <c r="J447" t="str">
        <f>_xlfn.XLOOKUP(D447,products!$A$2:$A$49,products!$C$2:$C$49,0)</f>
        <v>M</v>
      </c>
      <c r="K447" s="4">
        <f>_xlfn.XLOOKUP(D447,products!$A$2:$A$49,products!$D$2:$D$49,0)</f>
        <v>2.5</v>
      </c>
      <c r="L447" s="5">
        <f>_xlfn.XLOOKUP(D447,products!$A$2:$A$49,products!$E$2:$E$49,0)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_xlfn.XLOOKUP(orders!C448,customers!$A$1:$A$1001,customers!$G$1:$G$1001,0)</f>
        <v>United Kingdom</v>
      </c>
      <c r="I448" t="str">
        <f>_xlfn.XLOOKUP(D448,products!$A$2:$A$49,products!$B$2:$B$49,0)</f>
        <v>Lib</v>
      </c>
      <c r="J448" t="str">
        <f>_xlfn.XLOOKUP(D448,products!$A$2:$A$49,products!$C$2:$C$49,0)</f>
        <v>M</v>
      </c>
      <c r="K448" s="4">
        <f>_xlfn.XLOOKUP(D448,products!$A$2:$A$49,products!$D$2:$D$49,0)</f>
        <v>0.5</v>
      </c>
      <c r="L448" s="5">
        <f>_xlfn.XLOOKUP(D448,products!$A$2:$A$49,products!$E$2:$E$49,0)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_xlfn.XLOOKUP(orders!C449,customers!$A$1:$A$1001,customers!$G$1:$G$1001,0)</f>
        <v>United States</v>
      </c>
      <c r="I449" t="str">
        <f>_xlfn.XLOOKUP(D449,products!$A$2:$A$49,products!$B$2:$B$49,0)</f>
        <v>Rob</v>
      </c>
      <c r="J449" t="str">
        <f>_xlfn.XLOOKUP(D449,products!$A$2:$A$49,products!$C$2:$C$49,0)</f>
        <v>M</v>
      </c>
      <c r="K449" s="4">
        <f>_xlfn.XLOOKUP(D449,products!$A$2:$A$49,products!$D$2:$D$49,0)</f>
        <v>0.5</v>
      </c>
      <c r="L449" s="5">
        <f>_xlfn.XLOOKUP(D449,products!$A$2:$A$49,products!$E$2:$E$49,0)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_xlfn.XLOOKUP(orders!C450,customers!$A$1:$A$1001,customers!$G$1:$G$1001,0)</f>
        <v>Ireland</v>
      </c>
      <c r="I450" t="str">
        <f>_xlfn.XLOOKUP(D450,products!$A$2:$A$49,products!$B$2:$B$49,0)</f>
        <v>Rob</v>
      </c>
      <c r="J450" t="str">
        <f>_xlfn.XLOOKUP(D450,products!$A$2:$A$49,products!$C$2:$C$49,0)</f>
        <v>L</v>
      </c>
      <c r="K450" s="4">
        <f>_xlfn.XLOOKUP(D450,products!$A$2:$A$49,products!$D$2:$D$49,0)</f>
        <v>0.5</v>
      </c>
      <c r="L450" s="5">
        <f>_xlfn.XLOOKUP(D450,products!$A$2:$A$49,products!$E$2:$E$49,0)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_xlfn.XLOOKUP(orders!C451,customers!$A$1:$A$1001,customers!$G$1:$G$1001,0)</f>
        <v>United States</v>
      </c>
      <c r="I451" t="str">
        <f>_xlfn.XLOOKUP(D451,products!$A$2:$A$49,products!$B$2:$B$49,0)</f>
        <v>Rob</v>
      </c>
      <c r="J451" t="str">
        <f>_xlfn.XLOOKUP(D451,products!$A$2:$A$49,products!$C$2:$C$49,0)</f>
        <v>D</v>
      </c>
      <c r="K451" s="4">
        <f>_xlfn.XLOOKUP(D451,products!$A$2:$A$49,products!$D$2:$D$49,0)</f>
        <v>0.2</v>
      </c>
      <c r="L451" s="5">
        <f>_xlfn.XLOOKUP(D451,products!$A$2:$A$49,products!$E$2:$E$49,0)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_xlfn.XLOOKUP(orders!C452,customers!$A$1:$A$1001,customers!$G$1:$G$1001,0)</f>
        <v>Ireland</v>
      </c>
      <c r="I452" t="str">
        <f>_xlfn.XLOOKUP(D452,products!$A$2:$A$49,products!$B$2:$B$49,0)</f>
        <v>Lib</v>
      </c>
      <c r="J452" t="str">
        <f>_xlfn.XLOOKUP(D452,products!$A$2:$A$49,products!$C$2:$C$49,0)</f>
        <v>L</v>
      </c>
      <c r="K452" s="4">
        <f>_xlfn.XLOOKUP(D452,products!$A$2:$A$49,products!$D$2:$D$49,0)</f>
        <v>0.2</v>
      </c>
      <c r="L452" s="5">
        <f>_xlfn.XLOOKUP(D452,products!$A$2:$A$49,products!$E$2:$E$49,0)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_xlfn.XLOOKUP(orders!C453,customers!$A$1:$A$1001,customers!$G$1:$G$1001,0)</f>
        <v>United States</v>
      </c>
      <c r="I453" t="str">
        <f>_xlfn.XLOOKUP(D453,products!$A$2:$A$49,products!$B$2:$B$49,0)</f>
        <v>Rob</v>
      </c>
      <c r="J453" t="str">
        <f>_xlfn.XLOOKUP(D453,products!$A$2:$A$49,products!$C$2:$C$49,0)</f>
        <v>D</v>
      </c>
      <c r="K453" s="4">
        <f>_xlfn.XLOOKUP(D453,products!$A$2:$A$49,products!$D$2:$D$49,0)</f>
        <v>2.5</v>
      </c>
      <c r="L453" s="5">
        <f>_xlfn.XLOOKUP(D453,products!$A$2:$A$49,products!$E$2:$E$49,0)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_xlfn.XLOOKUP(orders!C454,customers!$A$1:$A$1001,customers!$G$1:$G$1001,0)</f>
        <v>United States</v>
      </c>
      <c r="I454" t="str">
        <f>_xlfn.XLOOKUP(D454,products!$A$2:$A$49,products!$B$2:$B$49,0)</f>
        <v>Ara</v>
      </c>
      <c r="J454" t="str">
        <f>_xlfn.XLOOKUP(D454,products!$A$2:$A$49,products!$C$2:$C$49,0)</f>
        <v>L</v>
      </c>
      <c r="K454" s="4">
        <f>_xlfn.XLOOKUP(D454,products!$A$2:$A$49,products!$D$2:$D$49,0)</f>
        <v>0.2</v>
      </c>
      <c r="L454" s="5">
        <f>_xlfn.XLOOKUP(D454,products!$A$2:$A$49,products!$E$2:$E$49,0)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_xlfn.XLOOKUP(orders!C455,customers!$A$1:$A$1001,customers!$G$1:$G$1001,0)</f>
        <v>United States</v>
      </c>
      <c r="I455" t="str">
        <f>_xlfn.XLOOKUP(D455,products!$A$2:$A$49,products!$B$2:$B$49,0)</f>
        <v>Lib</v>
      </c>
      <c r="J455" t="str">
        <f>_xlfn.XLOOKUP(D455,products!$A$2:$A$49,products!$C$2:$C$49,0)</f>
        <v>L</v>
      </c>
      <c r="K455" s="4">
        <f>_xlfn.XLOOKUP(D455,products!$A$2:$A$49,products!$D$2:$D$49,0)</f>
        <v>0.5</v>
      </c>
      <c r="L455" s="5">
        <f>_xlfn.XLOOKUP(D455,products!$A$2:$A$49,products!$E$2:$E$49,0)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_xlfn.XLOOKUP(orders!C456,customers!$A$1:$A$1001,customers!$G$1:$G$1001,0)</f>
        <v>Ireland</v>
      </c>
      <c r="I456" t="str">
        <f>_xlfn.XLOOKUP(D456,products!$A$2:$A$49,products!$B$2:$B$49,0)</f>
        <v>Rob</v>
      </c>
      <c r="J456" t="str">
        <f>_xlfn.XLOOKUP(D456,products!$A$2:$A$49,products!$C$2:$C$49,0)</f>
        <v>D</v>
      </c>
      <c r="K456" s="4">
        <f>_xlfn.XLOOKUP(D456,products!$A$2:$A$49,products!$D$2:$D$49,0)</f>
        <v>2.5</v>
      </c>
      <c r="L456" s="5">
        <f>_xlfn.XLOOKUP(D456,products!$A$2:$A$49,products!$E$2:$E$49,0)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_xlfn.XLOOKUP(orders!C457,customers!$A$1:$A$1001,customers!$G$1:$G$1001,0)</f>
        <v>Ireland</v>
      </c>
      <c r="I457" t="str">
        <f>_xlfn.XLOOKUP(D457,products!$A$2:$A$49,products!$B$2:$B$49,0)</f>
        <v>Lib</v>
      </c>
      <c r="J457" t="str">
        <f>_xlfn.XLOOKUP(D457,products!$A$2:$A$49,products!$C$2:$C$49,0)</f>
        <v>L</v>
      </c>
      <c r="K457" s="4">
        <f>_xlfn.XLOOKUP(D457,products!$A$2:$A$49,products!$D$2:$D$49,0)</f>
        <v>0.2</v>
      </c>
      <c r="L457" s="5">
        <f>_xlfn.XLOOKUP(D457,products!$A$2:$A$49,products!$E$2:$E$49,0)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_xlfn.XLOOKUP(orders!C458,customers!$A$1:$A$1001,customers!$G$1:$G$1001,0)</f>
        <v>United Kingdom</v>
      </c>
      <c r="I458" t="str">
        <f>_xlfn.XLOOKUP(D458,products!$A$2:$A$49,products!$B$2:$B$49,0)</f>
        <v>Rob</v>
      </c>
      <c r="J458" t="str">
        <f>_xlfn.XLOOKUP(D458,products!$A$2:$A$49,products!$C$2:$C$49,0)</f>
        <v>D</v>
      </c>
      <c r="K458" s="4">
        <f>_xlfn.XLOOKUP(D458,products!$A$2:$A$49,products!$D$2:$D$49,0)</f>
        <v>2.5</v>
      </c>
      <c r="L458" s="5">
        <f>_xlfn.XLOOKUP(D458,products!$A$2:$A$49,products!$E$2:$E$49,0)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_xlfn.XLOOKUP(orders!C459,customers!$A$1:$A$1001,customers!$G$1:$G$1001,0)</f>
        <v>United States</v>
      </c>
      <c r="I459" t="str">
        <f>_xlfn.XLOOKUP(D459,products!$A$2:$A$49,products!$B$2:$B$49,0)</f>
        <v>Lib</v>
      </c>
      <c r="J459" t="str">
        <f>_xlfn.XLOOKUP(D459,products!$A$2:$A$49,products!$C$2:$C$49,0)</f>
        <v>L</v>
      </c>
      <c r="K459" s="4">
        <f>_xlfn.XLOOKUP(D459,products!$A$2:$A$49,products!$D$2:$D$49,0)</f>
        <v>0.5</v>
      </c>
      <c r="L459" s="5">
        <f>_xlfn.XLOOKUP(D459,products!$A$2:$A$49,products!$E$2:$E$49,0)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_xlfn.XLOOKUP(orders!C460,customers!$A$1:$A$1001,customers!$G$1:$G$1001,0)</f>
        <v>United States</v>
      </c>
      <c r="I460" t="str">
        <f>_xlfn.XLOOKUP(D460,products!$A$2:$A$49,products!$B$2:$B$49,0)</f>
        <v>Ara</v>
      </c>
      <c r="J460" t="str">
        <f>_xlfn.XLOOKUP(D460,products!$A$2:$A$49,products!$C$2:$C$49,0)</f>
        <v>M</v>
      </c>
      <c r="K460" s="4">
        <f>_xlfn.XLOOKUP(D460,products!$A$2:$A$49,products!$D$2:$D$49,0)</f>
        <v>1</v>
      </c>
      <c r="L460" s="5">
        <f>_xlfn.XLOOKUP(D460,products!$A$2:$A$49,products!$E$2:$E$49,0)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_xlfn.XLOOKUP(orders!C461,customers!$A$1:$A$1001,customers!$G$1:$G$1001,0)</f>
        <v>United States</v>
      </c>
      <c r="I461" t="str">
        <f>_xlfn.XLOOKUP(D461,products!$A$2:$A$49,products!$B$2:$B$49,0)</f>
        <v>Lib</v>
      </c>
      <c r="J461" t="str">
        <f>_xlfn.XLOOKUP(D461,products!$A$2:$A$49,products!$C$2:$C$49,0)</f>
        <v>L</v>
      </c>
      <c r="K461" s="4">
        <f>_xlfn.XLOOKUP(D461,products!$A$2:$A$49,products!$D$2:$D$49,0)</f>
        <v>0.2</v>
      </c>
      <c r="L461" s="5">
        <f>_xlfn.XLOOKUP(D461,products!$A$2:$A$49,products!$E$2:$E$49,0)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_xlfn.XLOOKUP(orders!C462,customers!$A$1:$A$1001,customers!$G$1:$G$1001,0)</f>
        <v>Ireland</v>
      </c>
      <c r="I462" t="str">
        <f>_xlfn.XLOOKUP(D462,products!$A$2:$A$49,products!$B$2:$B$49,0)</f>
        <v>Rob</v>
      </c>
      <c r="J462" t="str">
        <f>_xlfn.XLOOKUP(D462,products!$A$2:$A$49,products!$C$2:$C$49,0)</f>
        <v>D</v>
      </c>
      <c r="K462" s="4">
        <f>_xlfn.XLOOKUP(D462,products!$A$2:$A$49,products!$D$2:$D$49,0)</f>
        <v>0.5</v>
      </c>
      <c r="L462" s="5">
        <f>_xlfn.XLOOKUP(D462,products!$A$2:$A$49,products!$E$2:$E$49,0)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_xlfn.XLOOKUP(orders!C463,customers!$A$1:$A$1001,customers!$G$1:$G$1001,0)</f>
        <v>United Kingdom</v>
      </c>
      <c r="I463" t="str">
        <f>_xlfn.XLOOKUP(D463,products!$A$2:$A$49,products!$B$2:$B$49,0)</f>
        <v>Rob</v>
      </c>
      <c r="J463" t="str">
        <f>_xlfn.XLOOKUP(D463,products!$A$2:$A$49,products!$C$2:$C$49,0)</f>
        <v>D</v>
      </c>
      <c r="K463" s="4">
        <f>_xlfn.XLOOKUP(D463,products!$A$2:$A$49,products!$D$2:$D$49,0)</f>
        <v>0.2</v>
      </c>
      <c r="L463" s="5">
        <f>_xlfn.XLOOKUP(D463,products!$A$2:$A$49,products!$E$2:$E$49,0)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_xlfn.XLOOKUP(orders!C464,customers!$A$1:$A$1001,customers!$G$1:$G$1001,0)</f>
        <v>United States</v>
      </c>
      <c r="I464" t="str">
        <f>_xlfn.XLOOKUP(D464,products!$A$2:$A$49,products!$B$2:$B$49,0)</f>
        <v>Ara</v>
      </c>
      <c r="J464" t="str">
        <f>_xlfn.XLOOKUP(D464,products!$A$2:$A$49,products!$C$2:$C$49,0)</f>
        <v>D</v>
      </c>
      <c r="K464" s="4">
        <f>_xlfn.XLOOKUP(D464,products!$A$2:$A$49,products!$D$2:$D$49,0)</f>
        <v>1</v>
      </c>
      <c r="L464" s="5">
        <f>_xlfn.XLOOKUP(D464,products!$A$2:$A$49,products!$E$2:$E$49,0)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_xlfn.XLOOKUP(orders!C465,customers!$A$1:$A$1001,customers!$G$1:$G$1001,0)</f>
        <v>Ireland</v>
      </c>
      <c r="I465" t="str">
        <f>_xlfn.XLOOKUP(D465,products!$A$2:$A$49,products!$B$2:$B$49,0)</f>
        <v>Exc</v>
      </c>
      <c r="J465" t="str">
        <f>_xlfn.XLOOKUP(D465,products!$A$2:$A$49,products!$C$2:$C$49,0)</f>
        <v>M</v>
      </c>
      <c r="K465" s="4">
        <f>_xlfn.XLOOKUP(D465,products!$A$2:$A$49,products!$D$2:$D$49,0)</f>
        <v>1</v>
      </c>
      <c r="L465" s="5">
        <f>_xlfn.XLOOKUP(D465,products!$A$2:$A$49,products!$E$2:$E$49,0)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_xlfn.XLOOKUP(orders!C466,customers!$A$1:$A$1001,customers!$G$1:$G$1001,0)</f>
        <v>United Kingdom</v>
      </c>
      <c r="I466" t="str">
        <f>_xlfn.XLOOKUP(D466,products!$A$2:$A$49,products!$B$2:$B$49,0)</f>
        <v>Lib</v>
      </c>
      <c r="J466" t="str">
        <f>_xlfn.XLOOKUP(D466,products!$A$2:$A$49,products!$C$2:$C$49,0)</f>
        <v>D</v>
      </c>
      <c r="K466" s="4">
        <f>_xlfn.XLOOKUP(D466,products!$A$2:$A$49,products!$D$2:$D$49,0)</f>
        <v>2.5</v>
      </c>
      <c r="L466" s="5">
        <f>_xlfn.XLOOKUP(D466,products!$A$2:$A$49,products!$E$2:$E$49,0)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_xlfn.XLOOKUP(orders!C467,customers!$A$1:$A$1001,customers!$G$1:$G$1001,0)</f>
        <v>United States</v>
      </c>
      <c r="I467" t="str">
        <f>_xlfn.XLOOKUP(D467,products!$A$2:$A$49,products!$B$2:$B$49,0)</f>
        <v>Rob</v>
      </c>
      <c r="J467" t="str">
        <f>_xlfn.XLOOKUP(D467,products!$A$2:$A$49,products!$C$2:$C$49,0)</f>
        <v>D</v>
      </c>
      <c r="K467" s="4">
        <f>_xlfn.XLOOKUP(D467,products!$A$2:$A$49,products!$D$2:$D$49,0)</f>
        <v>2.5</v>
      </c>
      <c r="L467" s="5">
        <f>_xlfn.XLOOKUP(D467,products!$A$2:$A$49,products!$E$2:$E$49,0)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_xlfn.XLOOKUP(orders!C468,customers!$A$1:$A$1001,customers!$G$1:$G$1001,0)</f>
        <v>United States</v>
      </c>
      <c r="I468" t="str">
        <f>_xlfn.XLOOKUP(D468,products!$A$2:$A$49,products!$B$2:$B$49,0)</f>
        <v>Ara</v>
      </c>
      <c r="J468" t="str">
        <f>_xlfn.XLOOKUP(D468,products!$A$2:$A$49,products!$C$2:$C$49,0)</f>
        <v>D</v>
      </c>
      <c r="K468" s="4">
        <f>_xlfn.XLOOKUP(D468,products!$A$2:$A$49,products!$D$2:$D$49,0)</f>
        <v>0.2</v>
      </c>
      <c r="L468" s="5">
        <f>_xlfn.XLOOKUP(D468,products!$A$2:$A$49,products!$E$2:$E$49,0)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_xlfn.XLOOKUP(orders!C469,customers!$A$1:$A$1001,customers!$G$1:$G$1001,0)</f>
        <v>United States</v>
      </c>
      <c r="I469" t="str">
        <f>_xlfn.XLOOKUP(D469,products!$A$2:$A$49,products!$B$2:$B$49,0)</f>
        <v>Ara</v>
      </c>
      <c r="J469" t="str">
        <f>_xlfn.XLOOKUP(D469,products!$A$2:$A$49,products!$C$2:$C$49,0)</f>
        <v>D</v>
      </c>
      <c r="K469" s="4">
        <f>_xlfn.XLOOKUP(D469,products!$A$2:$A$49,products!$D$2:$D$49,0)</f>
        <v>0.5</v>
      </c>
      <c r="L469" s="5">
        <f>_xlfn.XLOOKUP(D469,products!$A$2:$A$49,products!$E$2:$E$49,0)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_xlfn.XLOOKUP(orders!C470,customers!$A$1:$A$1001,customers!$G$1:$G$1001,0)</f>
        <v>United States</v>
      </c>
      <c r="I470" t="str">
        <f>_xlfn.XLOOKUP(D470,products!$A$2:$A$49,products!$B$2:$B$49,0)</f>
        <v>Exc</v>
      </c>
      <c r="J470" t="str">
        <f>_xlfn.XLOOKUP(D470,products!$A$2:$A$49,products!$C$2:$C$49,0)</f>
        <v>M</v>
      </c>
      <c r="K470" s="4">
        <f>_xlfn.XLOOKUP(D470,products!$A$2:$A$49,products!$D$2:$D$49,0)</f>
        <v>1</v>
      </c>
      <c r="L470" s="5">
        <f>_xlfn.XLOOKUP(D470,products!$A$2:$A$49,products!$E$2:$E$49,0)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_xlfn.XLOOKUP(orders!C471,customers!$A$1:$A$1001,customers!$G$1:$G$1001,0)</f>
        <v>United States</v>
      </c>
      <c r="I471" t="str">
        <f>_xlfn.XLOOKUP(D471,products!$A$2:$A$49,products!$B$2:$B$49,0)</f>
        <v>Exc</v>
      </c>
      <c r="J471" t="str">
        <f>_xlfn.XLOOKUP(D471,products!$A$2:$A$49,products!$C$2:$C$49,0)</f>
        <v>L</v>
      </c>
      <c r="K471" s="4">
        <f>_xlfn.XLOOKUP(D471,products!$A$2:$A$49,products!$D$2:$D$49,0)</f>
        <v>0.2</v>
      </c>
      <c r="L471" s="5">
        <f>_xlfn.XLOOKUP(D471,products!$A$2:$A$49,products!$E$2:$E$49,0)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_xlfn.XLOOKUP(orders!C472,customers!$A$1:$A$1001,customers!$G$1:$G$1001,0)</f>
        <v>United States</v>
      </c>
      <c r="I472" t="str">
        <f>_xlfn.XLOOKUP(D472,products!$A$2:$A$49,products!$B$2:$B$49,0)</f>
        <v>Ara</v>
      </c>
      <c r="J472" t="str">
        <f>_xlfn.XLOOKUP(D472,products!$A$2:$A$49,products!$C$2:$C$49,0)</f>
        <v>M</v>
      </c>
      <c r="K472" s="4">
        <f>_xlfn.XLOOKUP(D472,products!$A$2:$A$49,products!$D$2:$D$49,0)</f>
        <v>0.5</v>
      </c>
      <c r="L472" s="5">
        <f>_xlfn.XLOOKUP(D472,products!$A$2:$A$49,products!$E$2:$E$49,0)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_xlfn.XLOOKUP(orders!C473,customers!$A$1:$A$1001,customers!$G$1:$G$1001,0)</f>
        <v>United States</v>
      </c>
      <c r="I473" t="str">
        <f>_xlfn.XLOOKUP(D473,products!$A$2:$A$49,products!$B$2:$B$49,0)</f>
        <v>Lib</v>
      </c>
      <c r="J473" t="str">
        <f>_xlfn.XLOOKUP(D473,products!$A$2:$A$49,products!$C$2:$C$49,0)</f>
        <v>M</v>
      </c>
      <c r="K473" s="4">
        <f>_xlfn.XLOOKUP(D473,products!$A$2:$A$49,products!$D$2:$D$49,0)</f>
        <v>2.5</v>
      </c>
      <c r="L473" s="5">
        <f>_xlfn.XLOOKUP(D473,products!$A$2:$A$49,products!$E$2:$E$49,0)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_xlfn.XLOOKUP(orders!C474,customers!$A$1:$A$1001,customers!$G$1:$G$1001,0)</f>
        <v>United States</v>
      </c>
      <c r="I474" t="str">
        <f>_xlfn.XLOOKUP(D474,products!$A$2:$A$49,products!$B$2:$B$49,0)</f>
        <v>Ara</v>
      </c>
      <c r="J474" t="str">
        <f>_xlfn.XLOOKUP(D474,products!$A$2:$A$49,products!$C$2:$C$49,0)</f>
        <v>D</v>
      </c>
      <c r="K474" s="4">
        <f>_xlfn.XLOOKUP(D474,products!$A$2:$A$49,products!$D$2:$D$49,0)</f>
        <v>0.2</v>
      </c>
      <c r="L474" s="5">
        <f>_xlfn.XLOOKUP(D474,products!$A$2:$A$49,products!$E$2:$E$49,0)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_xlfn.XLOOKUP(orders!C475,customers!$A$1:$A$1001,customers!$G$1:$G$1001,0)</f>
        <v>United States</v>
      </c>
      <c r="I475" t="str">
        <f>_xlfn.XLOOKUP(D475,products!$A$2:$A$49,products!$B$2:$B$49,0)</f>
        <v>Ara</v>
      </c>
      <c r="J475" t="str">
        <f>_xlfn.XLOOKUP(D475,products!$A$2:$A$49,products!$C$2:$C$49,0)</f>
        <v>L</v>
      </c>
      <c r="K475" s="4">
        <f>_xlfn.XLOOKUP(D475,products!$A$2:$A$49,products!$D$2:$D$49,0)</f>
        <v>1</v>
      </c>
      <c r="L475" s="5">
        <f>_xlfn.XLOOKUP(D475,products!$A$2:$A$49,products!$E$2:$E$49,0)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_xlfn.XLOOKUP(orders!C476,customers!$A$1:$A$1001,customers!$G$1:$G$1001,0)</f>
        <v>Ireland</v>
      </c>
      <c r="I476" t="str">
        <f>_xlfn.XLOOKUP(D476,products!$A$2:$A$49,products!$B$2:$B$49,0)</f>
        <v>Exc</v>
      </c>
      <c r="J476" t="str">
        <f>_xlfn.XLOOKUP(D476,products!$A$2:$A$49,products!$C$2:$C$49,0)</f>
        <v>M</v>
      </c>
      <c r="K476" s="4">
        <f>_xlfn.XLOOKUP(D476,products!$A$2:$A$49,products!$D$2:$D$49,0)</f>
        <v>2.5</v>
      </c>
      <c r="L476" s="5">
        <f>_xlfn.XLOOKUP(D476,products!$A$2:$A$49,products!$E$2:$E$49,0)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_xlfn.XLOOKUP(orders!C477,customers!$A$1:$A$1001,customers!$G$1:$G$1001,0)</f>
        <v>United States</v>
      </c>
      <c r="I477" t="str">
        <f>_xlfn.XLOOKUP(D477,products!$A$2:$A$49,products!$B$2:$B$49,0)</f>
        <v>Lib</v>
      </c>
      <c r="J477" t="str">
        <f>_xlfn.XLOOKUP(D477,products!$A$2:$A$49,products!$C$2:$C$49,0)</f>
        <v>M</v>
      </c>
      <c r="K477" s="4">
        <f>_xlfn.XLOOKUP(D477,products!$A$2:$A$49,products!$D$2:$D$49,0)</f>
        <v>0.2</v>
      </c>
      <c r="L477" s="5">
        <f>_xlfn.XLOOKUP(D477,products!$A$2:$A$49,products!$E$2:$E$49,0)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_xlfn.XLOOKUP(orders!C478,customers!$A$1:$A$1001,customers!$G$1:$G$1001,0)</f>
        <v>United States</v>
      </c>
      <c r="I478" t="str">
        <f>_xlfn.XLOOKUP(D478,products!$A$2:$A$49,products!$B$2:$B$49,0)</f>
        <v>Exc</v>
      </c>
      <c r="J478" t="str">
        <f>_xlfn.XLOOKUP(D478,products!$A$2:$A$49,products!$C$2:$C$49,0)</f>
        <v>L</v>
      </c>
      <c r="K478" s="4">
        <f>_xlfn.XLOOKUP(D478,products!$A$2:$A$49,products!$D$2:$D$49,0)</f>
        <v>0.2</v>
      </c>
      <c r="L478" s="5">
        <f>_xlfn.XLOOKUP(D478,products!$A$2:$A$49,products!$E$2:$E$49,0)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_xlfn.XLOOKUP(orders!C479,customers!$A$1:$A$1001,customers!$G$1:$G$1001,0)</f>
        <v>United States</v>
      </c>
      <c r="I479" t="str">
        <f>_xlfn.XLOOKUP(D479,products!$A$2:$A$49,products!$B$2:$B$49,0)</f>
        <v>Lib</v>
      </c>
      <c r="J479" t="str">
        <f>_xlfn.XLOOKUP(D479,products!$A$2:$A$49,products!$C$2:$C$49,0)</f>
        <v>M</v>
      </c>
      <c r="K479" s="4">
        <f>_xlfn.XLOOKUP(D479,products!$A$2:$A$49,products!$D$2:$D$49,0)</f>
        <v>0.2</v>
      </c>
      <c r="L479" s="5">
        <f>_xlfn.XLOOKUP(D479,products!$A$2:$A$49,products!$E$2:$E$49,0)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_xlfn.XLOOKUP(orders!C480,customers!$A$1:$A$1001,customers!$G$1:$G$1001,0)</f>
        <v>United States</v>
      </c>
      <c r="I480" t="str">
        <f>_xlfn.XLOOKUP(D480,products!$A$2:$A$49,products!$B$2:$B$49,0)</f>
        <v>Rob</v>
      </c>
      <c r="J480" t="str">
        <f>_xlfn.XLOOKUP(D480,products!$A$2:$A$49,products!$C$2:$C$49,0)</f>
        <v>D</v>
      </c>
      <c r="K480" s="4">
        <f>_xlfn.XLOOKUP(D480,products!$A$2:$A$49,products!$D$2:$D$49,0)</f>
        <v>1</v>
      </c>
      <c r="L480" s="5">
        <f>_xlfn.XLOOKUP(D480,products!$A$2:$A$49,products!$E$2:$E$49,0)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_xlfn.XLOOKUP(orders!C481,customers!$A$1:$A$1001,customers!$G$1:$G$1001,0)</f>
        <v>United States</v>
      </c>
      <c r="I481" t="str">
        <f>_xlfn.XLOOKUP(D481,products!$A$2:$A$49,products!$B$2:$B$49,0)</f>
        <v>Exc</v>
      </c>
      <c r="J481" t="str">
        <f>_xlfn.XLOOKUP(D481,products!$A$2:$A$49,products!$C$2:$C$49,0)</f>
        <v>M</v>
      </c>
      <c r="K481" s="4">
        <f>_xlfn.XLOOKUP(D481,products!$A$2:$A$49,products!$D$2:$D$49,0)</f>
        <v>2.5</v>
      </c>
      <c r="L481" s="5">
        <f>_xlfn.XLOOKUP(D481,products!$A$2:$A$49,products!$E$2:$E$49,0)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_xlfn.XLOOKUP(orders!C482,customers!$A$1:$A$1001,customers!$G$1:$G$1001,0)</f>
        <v>United States</v>
      </c>
      <c r="I482" t="str">
        <f>_xlfn.XLOOKUP(D482,products!$A$2:$A$49,products!$B$2:$B$49,0)</f>
        <v>Exc</v>
      </c>
      <c r="J482" t="str">
        <f>_xlfn.XLOOKUP(D482,products!$A$2:$A$49,products!$C$2:$C$49,0)</f>
        <v>M</v>
      </c>
      <c r="K482" s="4">
        <f>_xlfn.XLOOKUP(D482,products!$A$2:$A$49,products!$D$2:$D$49,0)</f>
        <v>0.2</v>
      </c>
      <c r="L482" s="5">
        <f>_xlfn.XLOOKUP(D482,products!$A$2:$A$49,products!$E$2:$E$49,0)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_xlfn.XLOOKUP(orders!C483,customers!$A$1:$A$1001,customers!$G$1:$G$1001,0)</f>
        <v>United Kingdom</v>
      </c>
      <c r="I483" t="str">
        <f>_xlfn.XLOOKUP(D483,products!$A$2:$A$49,products!$B$2:$B$49,0)</f>
        <v>Rob</v>
      </c>
      <c r="J483" t="str">
        <f>_xlfn.XLOOKUP(D483,products!$A$2:$A$49,products!$C$2:$C$49,0)</f>
        <v>L</v>
      </c>
      <c r="K483" s="4">
        <f>_xlfn.XLOOKUP(D483,products!$A$2:$A$49,products!$D$2:$D$49,0)</f>
        <v>1</v>
      </c>
      <c r="L483" s="5">
        <f>_xlfn.XLOOKUP(D483,products!$A$2:$A$49,products!$E$2:$E$49,0)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_xlfn.XLOOKUP(orders!C484,customers!$A$1:$A$1001,customers!$G$1:$G$1001,0)</f>
        <v>United States</v>
      </c>
      <c r="I484" t="str">
        <f>_xlfn.XLOOKUP(D484,products!$A$2:$A$49,products!$B$2:$B$49,0)</f>
        <v>Exc</v>
      </c>
      <c r="J484" t="str">
        <f>_xlfn.XLOOKUP(D484,products!$A$2:$A$49,products!$C$2:$C$49,0)</f>
        <v>D</v>
      </c>
      <c r="K484" s="4">
        <f>_xlfn.XLOOKUP(D484,products!$A$2:$A$49,products!$D$2:$D$49,0)</f>
        <v>2.5</v>
      </c>
      <c r="L484" s="5">
        <f>_xlfn.XLOOKUP(D484,products!$A$2:$A$49,products!$E$2:$E$49,0)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_xlfn.XLOOKUP(orders!C485,customers!$A$1:$A$1001,customers!$G$1:$G$1001,0)</f>
        <v>United States</v>
      </c>
      <c r="I485" t="str">
        <f>_xlfn.XLOOKUP(D485,products!$A$2:$A$49,products!$B$2:$B$49,0)</f>
        <v>Lib</v>
      </c>
      <c r="J485" t="str">
        <f>_xlfn.XLOOKUP(D485,products!$A$2:$A$49,products!$C$2:$C$49,0)</f>
        <v>D</v>
      </c>
      <c r="K485" s="4">
        <f>_xlfn.XLOOKUP(D485,products!$A$2:$A$49,products!$D$2:$D$49,0)</f>
        <v>2.5</v>
      </c>
      <c r="L485" s="5">
        <f>_xlfn.XLOOKUP(D485,products!$A$2:$A$49,products!$E$2:$E$49,0)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_xlfn.XLOOKUP(orders!C486,customers!$A$1:$A$1001,customers!$G$1:$G$1001,0)</f>
        <v>United States</v>
      </c>
      <c r="I486" t="str">
        <f>_xlfn.XLOOKUP(D486,products!$A$2:$A$49,products!$B$2:$B$49,0)</f>
        <v>Lib</v>
      </c>
      <c r="J486" t="str">
        <f>_xlfn.XLOOKUP(D486,products!$A$2:$A$49,products!$C$2:$C$49,0)</f>
        <v>L</v>
      </c>
      <c r="K486" s="4">
        <f>_xlfn.XLOOKUP(D486,products!$A$2:$A$49,products!$D$2:$D$49,0)</f>
        <v>0.5</v>
      </c>
      <c r="L486" s="5">
        <f>_xlfn.XLOOKUP(D486,products!$A$2:$A$49,products!$E$2:$E$49,0)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_xlfn.XLOOKUP(orders!C487,customers!$A$1:$A$1001,customers!$G$1:$G$1001,0)</f>
        <v>Ireland</v>
      </c>
      <c r="I487" t="str">
        <f>_xlfn.XLOOKUP(D487,products!$A$2:$A$49,products!$B$2:$B$49,0)</f>
        <v>Rob</v>
      </c>
      <c r="J487" t="str">
        <f>_xlfn.XLOOKUP(D487,products!$A$2:$A$49,products!$C$2:$C$49,0)</f>
        <v>L</v>
      </c>
      <c r="K487" s="4">
        <f>_xlfn.XLOOKUP(D487,products!$A$2:$A$49,products!$D$2:$D$49,0)</f>
        <v>0.2</v>
      </c>
      <c r="L487" s="5">
        <f>_xlfn.XLOOKUP(D487,products!$A$2:$A$49,products!$E$2:$E$49,0)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_xlfn.XLOOKUP(orders!C488,customers!$A$1:$A$1001,customers!$G$1:$G$1001,0)</f>
        <v>Ireland</v>
      </c>
      <c r="I488" t="str">
        <f>_xlfn.XLOOKUP(D488,products!$A$2:$A$49,products!$B$2:$B$49,0)</f>
        <v>Lib</v>
      </c>
      <c r="J488" t="str">
        <f>_xlfn.XLOOKUP(D488,products!$A$2:$A$49,products!$C$2:$C$49,0)</f>
        <v>M</v>
      </c>
      <c r="K488" s="4">
        <f>_xlfn.XLOOKUP(D488,products!$A$2:$A$49,products!$D$2:$D$49,0)</f>
        <v>0.5</v>
      </c>
      <c r="L488" s="5">
        <f>_xlfn.XLOOKUP(D488,products!$A$2:$A$49,products!$E$2:$E$49,0)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_xlfn.XLOOKUP(orders!C489,customers!$A$1:$A$1001,customers!$G$1:$G$1001,0)</f>
        <v>Ireland</v>
      </c>
      <c r="I489" t="str">
        <f>_xlfn.XLOOKUP(D489,products!$A$2:$A$49,products!$B$2:$B$49,0)</f>
        <v>Exc</v>
      </c>
      <c r="J489" t="str">
        <f>_xlfn.XLOOKUP(D489,products!$A$2:$A$49,products!$C$2:$C$49,0)</f>
        <v>D</v>
      </c>
      <c r="K489" s="4">
        <f>_xlfn.XLOOKUP(D489,products!$A$2:$A$49,products!$D$2:$D$49,0)</f>
        <v>1</v>
      </c>
      <c r="L489" s="5">
        <f>_xlfn.XLOOKUP(D489,products!$A$2:$A$49,products!$E$2:$E$49,0)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_xlfn.XLOOKUP(orders!C490,customers!$A$1:$A$1001,customers!$G$1:$G$1001,0)</f>
        <v>Ireland</v>
      </c>
      <c r="I490" t="str">
        <f>_xlfn.XLOOKUP(D490,products!$A$2:$A$49,products!$B$2:$B$49,0)</f>
        <v>Rob</v>
      </c>
      <c r="J490" t="str">
        <f>_xlfn.XLOOKUP(D490,products!$A$2:$A$49,products!$C$2:$C$49,0)</f>
        <v>M</v>
      </c>
      <c r="K490" s="4">
        <f>_xlfn.XLOOKUP(D490,products!$A$2:$A$49,products!$D$2:$D$49,0)</f>
        <v>0.2</v>
      </c>
      <c r="L490" s="5">
        <f>_xlfn.XLOOKUP(D490,products!$A$2:$A$49,products!$E$2:$E$49,0)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_xlfn.XLOOKUP(orders!C491,customers!$A$1:$A$1001,customers!$G$1:$G$1001,0)</f>
        <v>United States</v>
      </c>
      <c r="I491" t="str">
        <f>_xlfn.XLOOKUP(D491,products!$A$2:$A$49,products!$B$2:$B$49,0)</f>
        <v>Lib</v>
      </c>
      <c r="J491" t="str">
        <f>_xlfn.XLOOKUP(D491,products!$A$2:$A$49,products!$C$2:$C$49,0)</f>
        <v>L</v>
      </c>
      <c r="K491" s="4">
        <f>_xlfn.XLOOKUP(D491,products!$A$2:$A$49,products!$D$2:$D$49,0)</f>
        <v>1</v>
      </c>
      <c r="L491" s="5">
        <f>_xlfn.XLOOKUP(D491,products!$A$2:$A$49,products!$E$2:$E$49,0)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_xlfn.XLOOKUP(orders!C492,customers!$A$1:$A$1001,customers!$G$1:$G$1001,0)</f>
        <v>United States</v>
      </c>
      <c r="I492" t="str">
        <f>_xlfn.XLOOKUP(D492,products!$A$2:$A$49,products!$B$2:$B$49,0)</f>
        <v>Lib</v>
      </c>
      <c r="J492" t="str">
        <f>_xlfn.XLOOKUP(D492,products!$A$2:$A$49,products!$C$2:$C$49,0)</f>
        <v>D</v>
      </c>
      <c r="K492" s="4">
        <f>_xlfn.XLOOKUP(D492,products!$A$2:$A$49,products!$D$2:$D$49,0)</f>
        <v>0.5</v>
      </c>
      <c r="L492" s="5">
        <f>_xlfn.XLOOKUP(D492,products!$A$2:$A$49,products!$E$2:$E$49,0)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_xlfn.XLOOKUP(orders!C493,customers!$A$1:$A$1001,customers!$G$1:$G$1001,0)</f>
        <v>United States</v>
      </c>
      <c r="I493" t="str">
        <f>_xlfn.XLOOKUP(D493,products!$A$2:$A$49,products!$B$2:$B$49,0)</f>
        <v>Lib</v>
      </c>
      <c r="J493" t="str">
        <f>_xlfn.XLOOKUP(D493,products!$A$2:$A$49,products!$C$2:$C$49,0)</f>
        <v>D</v>
      </c>
      <c r="K493" s="4">
        <f>_xlfn.XLOOKUP(D493,products!$A$2:$A$49,products!$D$2:$D$49,0)</f>
        <v>0.2</v>
      </c>
      <c r="L493" s="5">
        <f>_xlfn.XLOOKUP(D493,products!$A$2:$A$49,products!$E$2:$E$49,0)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_xlfn.XLOOKUP(orders!C494,customers!$A$1:$A$1001,customers!$G$1:$G$1001,0)</f>
        <v>United States</v>
      </c>
      <c r="I494" t="str">
        <f>_xlfn.XLOOKUP(D494,products!$A$2:$A$49,products!$B$2:$B$49,0)</f>
        <v>Exc</v>
      </c>
      <c r="J494" t="str">
        <f>_xlfn.XLOOKUP(D494,products!$A$2:$A$49,products!$C$2:$C$49,0)</f>
        <v>M</v>
      </c>
      <c r="K494" s="4">
        <f>_xlfn.XLOOKUP(D494,products!$A$2:$A$49,products!$D$2:$D$49,0)</f>
        <v>0.2</v>
      </c>
      <c r="L494" s="5">
        <f>_xlfn.XLOOKUP(D494,products!$A$2:$A$49,products!$E$2:$E$49,0)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_xlfn.XLOOKUP(orders!C495,customers!$A$1:$A$1001,customers!$G$1:$G$1001,0)</f>
        <v>United Kingdom</v>
      </c>
      <c r="I495" t="str">
        <f>_xlfn.XLOOKUP(D495,products!$A$2:$A$49,products!$B$2:$B$49,0)</f>
        <v>Rob</v>
      </c>
      <c r="J495" t="str">
        <f>_xlfn.XLOOKUP(D495,products!$A$2:$A$49,products!$C$2:$C$49,0)</f>
        <v>M</v>
      </c>
      <c r="K495" s="4">
        <f>_xlfn.XLOOKUP(D495,products!$A$2:$A$49,products!$D$2:$D$49,0)</f>
        <v>0.5</v>
      </c>
      <c r="L495" s="5">
        <f>_xlfn.XLOOKUP(D495,products!$A$2:$A$49,products!$E$2:$E$49,0)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_xlfn.XLOOKUP(orders!C496,customers!$A$1:$A$1001,customers!$G$1:$G$1001,0)</f>
        <v>United States</v>
      </c>
      <c r="I496" t="str">
        <f>_xlfn.XLOOKUP(D496,products!$A$2:$A$49,products!$B$2:$B$49,0)</f>
        <v>Lib</v>
      </c>
      <c r="J496" t="str">
        <f>_xlfn.XLOOKUP(D496,products!$A$2:$A$49,products!$C$2:$C$49,0)</f>
        <v>L</v>
      </c>
      <c r="K496" s="4">
        <f>_xlfn.XLOOKUP(D496,products!$A$2:$A$49,products!$D$2:$D$49,0)</f>
        <v>1</v>
      </c>
      <c r="L496" s="5">
        <f>_xlfn.XLOOKUP(D496,products!$A$2:$A$49,products!$E$2:$E$49,0)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_xlfn.XLOOKUP(orders!C497,customers!$A$1:$A$1001,customers!$G$1:$G$1001,0)</f>
        <v>United States</v>
      </c>
      <c r="I497" t="str">
        <f>_xlfn.XLOOKUP(D497,products!$A$2:$A$49,products!$B$2:$B$49,0)</f>
        <v>Lib</v>
      </c>
      <c r="J497" t="str">
        <f>_xlfn.XLOOKUP(D497,products!$A$2:$A$49,products!$C$2:$C$49,0)</f>
        <v>L</v>
      </c>
      <c r="K497" s="4">
        <f>_xlfn.XLOOKUP(D497,products!$A$2:$A$49,products!$D$2:$D$49,0)</f>
        <v>1</v>
      </c>
      <c r="L497" s="5">
        <f>_xlfn.XLOOKUP(D497,products!$A$2:$A$49,products!$E$2:$E$49,0)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_xlfn.XLOOKUP(orders!C498,customers!$A$1:$A$1001,customers!$G$1:$G$1001,0)</f>
        <v>United States</v>
      </c>
      <c r="I498" t="str">
        <f>_xlfn.XLOOKUP(D498,products!$A$2:$A$49,products!$B$2:$B$49,0)</f>
        <v>Exc</v>
      </c>
      <c r="J498" t="str">
        <f>_xlfn.XLOOKUP(D498,products!$A$2:$A$49,products!$C$2:$C$49,0)</f>
        <v>D</v>
      </c>
      <c r="K498" s="4">
        <f>_xlfn.XLOOKUP(D498,products!$A$2:$A$49,products!$D$2:$D$49,0)</f>
        <v>0.2</v>
      </c>
      <c r="L498" s="5">
        <f>_xlfn.XLOOKUP(D498,products!$A$2:$A$49,products!$E$2:$E$49,0)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_xlfn.XLOOKUP(orders!C499,customers!$A$1:$A$1001,customers!$G$1:$G$1001,0)</f>
        <v>Ireland</v>
      </c>
      <c r="I499" t="str">
        <f>_xlfn.XLOOKUP(D499,products!$A$2:$A$49,products!$B$2:$B$49,0)</f>
        <v>Ara</v>
      </c>
      <c r="J499" t="str">
        <f>_xlfn.XLOOKUP(D499,products!$A$2:$A$49,products!$C$2:$C$49,0)</f>
        <v>D</v>
      </c>
      <c r="K499" s="4">
        <f>_xlfn.XLOOKUP(D499,products!$A$2:$A$49,products!$D$2:$D$49,0)</f>
        <v>1</v>
      </c>
      <c r="L499" s="5">
        <f>_xlfn.XLOOKUP(D499,products!$A$2:$A$49,products!$E$2:$E$49,0)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_xlfn.XLOOKUP(orders!C500,customers!$A$1:$A$1001,customers!$G$1:$G$1001,0)</f>
        <v>Ireland</v>
      </c>
      <c r="I500" t="str">
        <f>_xlfn.XLOOKUP(D500,products!$A$2:$A$49,products!$B$2:$B$49,0)</f>
        <v>Rob</v>
      </c>
      <c r="J500" t="str">
        <f>_xlfn.XLOOKUP(D500,products!$A$2:$A$49,products!$C$2:$C$49,0)</f>
        <v>M</v>
      </c>
      <c r="K500" s="4">
        <f>_xlfn.XLOOKUP(D500,products!$A$2:$A$49,products!$D$2:$D$49,0)</f>
        <v>1</v>
      </c>
      <c r="L500" s="5">
        <f>_xlfn.XLOOKUP(D500,products!$A$2:$A$49,products!$E$2:$E$49,0)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_xlfn.XLOOKUP(orders!C501,customers!$A$1:$A$1001,customers!$G$1:$G$1001,0)</f>
        <v>Ireland</v>
      </c>
      <c r="I501" t="str">
        <f>_xlfn.XLOOKUP(D501,products!$A$2:$A$49,products!$B$2:$B$49,0)</f>
        <v>Rob</v>
      </c>
      <c r="J501" t="str">
        <f>_xlfn.XLOOKUP(D501,products!$A$2:$A$49,products!$C$2:$C$49,0)</f>
        <v>D</v>
      </c>
      <c r="K501" s="4">
        <f>_xlfn.XLOOKUP(D501,products!$A$2:$A$49,products!$D$2:$D$49,0)</f>
        <v>0.2</v>
      </c>
      <c r="L501" s="5">
        <f>_xlfn.XLOOKUP(D501,products!$A$2:$A$49,products!$E$2:$E$49,0)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_xlfn.XLOOKUP(orders!C502,customers!$A$1:$A$1001,customers!$G$1:$G$1001,0)</f>
        <v>United States</v>
      </c>
      <c r="I502" t="str">
        <f>_xlfn.XLOOKUP(D502,products!$A$2:$A$49,products!$B$2:$B$49,0)</f>
        <v>Rob</v>
      </c>
      <c r="J502" t="str">
        <f>_xlfn.XLOOKUP(D502,products!$A$2:$A$49,products!$C$2:$C$49,0)</f>
        <v>L</v>
      </c>
      <c r="K502" s="4">
        <f>_xlfn.XLOOKUP(D502,products!$A$2:$A$49,products!$D$2:$D$49,0)</f>
        <v>1</v>
      </c>
      <c r="L502" s="5">
        <f>_xlfn.XLOOKUP(D502,products!$A$2:$A$49,products!$E$2:$E$49,0)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_xlfn.XLOOKUP(orders!C503,customers!$A$1:$A$1001,customers!$G$1:$G$1001,0)</f>
        <v>United Kingdom</v>
      </c>
      <c r="I503" t="str">
        <f>_xlfn.XLOOKUP(D503,products!$A$2:$A$49,products!$B$2:$B$49,0)</f>
        <v>Rob</v>
      </c>
      <c r="J503" t="str">
        <f>_xlfn.XLOOKUP(D503,products!$A$2:$A$49,products!$C$2:$C$49,0)</f>
        <v>M</v>
      </c>
      <c r="K503" s="4">
        <f>_xlfn.XLOOKUP(D503,products!$A$2:$A$49,products!$D$2:$D$49,0)</f>
        <v>0.2</v>
      </c>
      <c r="L503" s="5">
        <f>_xlfn.XLOOKUP(D503,products!$A$2:$A$49,products!$E$2:$E$49,0)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_xlfn.XLOOKUP(orders!C504,customers!$A$1:$A$1001,customers!$G$1:$G$1001,0)</f>
        <v>United Kingdom</v>
      </c>
      <c r="I504" t="str">
        <f>_xlfn.XLOOKUP(D504,products!$A$2:$A$49,products!$B$2:$B$49,0)</f>
        <v>Exc</v>
      </c>
      <c r="J504" t="str">
        <f>_xlfn.XLOOKUP(D504,products!$A$2:$A$49,products!$C$2:$C$49,0)</f>
        <v>M</v>
      </c>
      <c r="K504" s="4">
        <f>_xlfn.XLOOKUP(D504,products!$A$2:$A$49,products!$D$2:$D$49,0)</f>
        <v>0.2</v>
      </c>
      <c r="L504" s="5">
        <f>_xlfn.XLOOKUP(D504,products!$A$2:$A$49,products!$E$2:$E$49,0)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_xlfn.XLOOKUP(orders!C505,customers!$A$1:$A$1001,customers!$G$1:$G$1001,0)</f>
        <v>United Kingdom</v>
      </c>
      <c r="I505" t="str">
        <f>_xlfn.XLOOKUP(D505,products!$A$2:$A$49,products!$B$2:$B$49,0)</f>
        <v>Lib</v>
      </c>
      <c r="J505" t="str">
        <f>_xlfn.XLOOKUP(D505,products!$A$2:$A$49,products!$C$2:$C$49,0)</f>
        <v>D</v>
      </c>
      <c r="K505" s="4">
        <f>_xlfn.XLOOKUP(D505,products!$A$2:$A$49,products!$D$2:$D$49,0)</f>
        <v>1</v>
      </c>
      <c r="L505" s="5">
        <f>_xlfn.XLOOKUP(D505,products!$A$2:$A$49,products!$E$2:$E$49,0)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_xlfn.XLOOKUP(orders!C506,customers!$A$1:$A$1001,customers!$G$1:$G$1001,0)</f>
        <v>United Kingdom</v>
      </c>
      <c r="I506" t="str">
        <f>_xlfn.XLOOKUP(D506,products!$A$2:$A$49,products!$B$2:$B$49,0)</f>
        <v>Lib</v>
      </c>
      <c r="J506" t="str">
        <f>_xlfn.XLOOKUP(D506,products!$A$2:$A$49,products!$C$2:$C$49,0)</f>
        <v>L</v>
      </c>
      <c r="K506" s="4">
        <f>_xlfn.XLOOKUP(D506,products!$A$2:$A$49,products!$D$2:$D$49,0)</f>
        <v>0.2</v>
      </c>
      <c r="L506" s="5">
        <f>_xlfn.XLOOKUP(D506,products!$A$2:$A$49,products!$E$2:$E$49,0)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_xlfn.XLOOKUP(orders!C507,customers!$A$1:$A$1001,customers!$G$1:$G$1001,0)</f>
        <v>United States</v>
      </c>
      <c r="I507" t="str">
        <f>_xlfn.XLOOKUP(D507,products!$A$2:$A$49,products!$B$2:$B$49,0)</f>
        <v>Lib</v>
      </c>
      <c r="J507" t="str">
        <f>_xlfn.XLOOKUP(D507,products!$A$2:$A$49,products!$C$2:$C$49,0)</f>
        <v>M</v>
      </c>
      <c r="K507" s="4">
        <f>_xlfn.XLOOKUP(D507,products!$A$2:$A$49,products!$D$2:$D$49,0)</f>
        <v>0.2</v>
      </c>
      <c r="L507" s="5">
        <f>_xlfn.XLOOKUP(D507,products!$A$2:$A$49,products!$E$2:$E$49,0)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_xlfn.XLOOKUP(orders!C508,customers!$A$1:$A$1001,customers!$G$1:$G$1001,0)</f>
        <v>United States</v>
      </c>
      <c r="I508" t="str">
        <f>_xlfn.XLOOKUP(D508,products!$A$2:$A$49,products!$B$2:$B$49,0)</f>
        <v>Ara</v>
      </c>
      <c r="J508" t="str">
        <f>_xlfn.XLOOKUP(D508,products!$A$2:$A$49,products!$C$2:$C$49,0)</f>
        <v>L</v>
      </c>
      <c r="K508" s="4">
        <f>_xlfn.XLOOKUP(D508,products!$A$2:$A$49,products!$D$2:$D$49,0)</f>
        <v>1</v>
      </c>
      <c r="L508" s="5">
        <f>_xlfn.XLOOKUP(D508,products!$A$2:$A$49,products!$E$2:$E$49,0)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_xlfn.XLOOKUP(orders!C509,customers!$A$1:$A$1001,customers!$G$1:$G$1001,0)</f>
        <v>United States</v>
      </c>
      <c r="I509" t="str">
        <f>_xlfn.XLOOKUP(D509,products!$A$2:$A$49,products!$B$2:$B$49,0)</f>
        <v>Ara</v>
      </c>
      <c r="J509" t="str">
        <f>_xlfn.XLOOKUP(D509,products!$A$2:$A$49,products!$C$2:$C$49,0)</f>
        <v>L</v>
      </c>
      <c r="K509" s="4">
        <f>_xlfn.XLOOKUP(D509,products!$A$2:$A$49,products!$D$2:$D$49,0)</f>
        <v>2.5</v>
      </c>
      <c r="L509" s="5">
        <f>_xlfn.XLOOKUP(D509,products!$A$2:$A$49,products!$E$2:$E$49,0)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_xlfn.XLOOKUP(orders!C510,customers!$A$1:$A$1001,customers!$G$1:$G$1001,0)</f>
        <v>Ireland</v>
      </c>
      <c r="I510" t="str">
        <f>_xlfn.XLOOKUP(D510,products!$A$2:$A$49,products!$B$2:$B$49,0)</f>
        <v>Lib</v>
      </c>
      <c r="J510" t="str">
        <f>_xlfn.XLOOKUP(D510,products!$A$2:$A$49,products!$C$2:$C$49,0)</f>
        <v>D</v>
      </c>
      <c r="K510" s="4">
        <f>_xlfn.XLOOKUP(D510,products!$A$2:$A$49,products!$D$2:$D$49,0)</f>
        <v>0.5</v>
      </c>
      <c r="L510" s="5">
        <f>_xlfn.XLOOKUP(D510,products!$A$2:$A$49,products!$E$2:$E$49,0)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_xlfn.XLOOKUP(orders!C511,customers!$A$1:$A$1001,customers!$G$1:$G$1001,0)</f>
        <v>Ireland</v>
      </c>
      <c r="I511" t="str">
        <f>_xlfn.XLOOKUP(D511,products!$A$2:$A$49,products!$B$2:$B$49,0)</f>
        <v>Ara</v>
      </c>
      <c r="J511" t="str">
        <f>_xlfn.XLOOKUP(D511,products!$A$2:$A$49,products!$C$2:$C$49,0)</f>
        <v>D</v>
      </c>
      <c r="K511" s="4">
        <f>_xlfn.XLOOKUP(D511,products!$A$2:$A$49,products!$D$2:$D$49,0)</f>
        <v>1</v>
      </c>
      <c r="L511" s="5">
        <f>_xlfn.XLOOKUP(D511,products!$A$2:$A$49,products!$E$2:$E$49,0)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_xlfn.XLOOKUP(orders!C512,customers!$A$1:$A$1001,customers!$G$1:$G$1001,0)</f>
        <v>Ireland</v>
      </c>
      <c r="I512" t="str">
        <f>_xlfn.XLOOKUP(D512,products!$A$2:$A$49,products!$B$2:$B$49,0)</f>
        <v>Rob</v>
      </c>
      <c r="J512" t="str">
        <f>_xlfn.XLOOKUP(D512,products!$A$2:$A$49,products!$C$2:$C$49,0)</f>
        <v>L</v>
      </c>
      <c r="K512" s="4">
        <f>_xlfn.XLOOKUP(D512,products!$A$2:$A$49,products!$D$2:$D$49,0)</f>
        <v>0.2</v>
      </c>
      <c r="L512" s="5">
        <f>_xlfn.XLOOKUP(D512,products!$A$2:$A$49,products!$E$2:$E$49,0)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_xlfn.XLOOKUP(orders!C513,customers!$A$1:$A$1001,customers!$G$1:$G$1001,0)</f>
        <v>United States</v>
      </c>
      <c r="I513" t="str">
        <f>_xlfn.XLOOKUP(D513,products!$A$2:$A$49,products!$B$2:$B$49,0)</f>
        <v>Ara</v>
      </c>
      <c r="J513" t="str">
        <f>_xlfn.XLOOKUP(D513,products!$A$2:$A$49,products!$C$2:$C$49,0)</f>
        <v>M</v>
      </c>
      <c r="K513" s="4">
        <f>_xlfn.XLOOKUP(D513,products!$A$2:$A$49,products!$D$2:$D$49,0)</f>
        <v>0.2</v>
      </c>
      <c r="L513" s="5">
        <f>_xlfn.XLOOKUP(D513,products!$A$2:$A$49,products!$E$2:$E$49,0)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_xlfn.XLOOKUP(orders!C514,customers!$A$1:$A$1001,customers!$G$1:$G$1001,0)</f>
        <v>United States</v>
      </c>
      <c r="I514" t="str">
        <f>_xlfn.XLOOKUP(D514,products!$A$2:$A$49,products!$B$2:$B$49,0)</f>
        <v>Lib</v>
      </c>
      <c r="J514" t="str">
        <f>_xlfn.XLOOKUP(D514,products!$A$2:$A$49,products!$C$2:$C$49,0)</f>
        <v>L</v>
      </c>
      <c r="K514" s="4">
        <f>_xlfn.XLOOKUP(D514,products!$A$2:$A$49,products!$D$2:$D$49,0)</f>
        <v>1</v>
      </c>
      <c r="L514" s="5">
        <f>_xlfn.XLOOKUP(D514,products!$A$2:$A$49,products!$E$2:$E$49,0)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_xlfn.XLOOKUP(orders!C515,customers!$A$1:$A$1001,customers!$G$1:$G$1001,0)</f>
        <v>United States</v>
      </c>
      <c r="I515" t="str">
        <f>_xlfn.XLOOKUP(D515,products!$A$2:$A$49,products!$B$2:$B$49,0)</f>
        <v>Lib</v>
      </c>
      <c r="J515" t="str">
        <f>_xlfn.XLOOKUP(D515,products!$A$2:$A$49,products!$C$2:$C$49,0)</f>
        <v>L</v>
      </c>
      <c r="K515" s="4">
        <f>_xlfn.XLOOKUP(D515,products!$A$2:$A$49,products!$D$2:$D$49,0)</f>
        <v>1</v>
      </c>
      <c r="L515" s="5">
        <f>_xlfn.XLOOKUP(D515,products!$A$2:$A$49,products!$E$2:$E$49,0)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_xlfn.XLOOKUP(orders!C516,customers!$A$1:$A$1001,customers!$G$1:$G$1001,0)</f>
        <v>United States</v>
      </c>
      <c r="I516" t="str">
        <f>_xlfn.XLOOKUP(D516,products!$A$2:$A$49,products!$B$2:$B$49,0)</f>
        <v>Lib</v>
      </c>
      <c r="J516" t="str">
        <f>_xlfn.XLOOKUP(D516,products!$A$2:$A$49,products!$C$2:$C$49,0)</f>
        <v>M</v>
      </c>
      <c r="K516" s="4">
        <f>_xlfn.XLOOKUP(D516,products!$A$2:$A$49,products!$D$2:$D$49,0)</f>
        <v>0.2</v>
      </c>
      <c r="L516" s="5">
        <f>_xlfn.XLOOKUP(D516,products!$A$2:$A$49,products!$E$2:$E$49,0)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_xlfn.XLOOKUP(orders!C517,customers!$A$1:$A$1001,customers!$G$1:$G$1001,0)</f>
        <v>United States</v>
      </c>
      <c r="I517" t="str">
        <f>_xlfn.XLOOKUP(D517,products!$A$2:$A$49,products!$B$2:$B$49,0)</f>
        <v>Rob</v>
      </c>
      <c r="J517" t="str">
        <f>_xlfn.XLOOKUP(D517,products!$A$2:$A$49,products!$C$2:$C$49,0)</f>
        <v>L</v>
      </c>
      <c r="K517" s="4">
        <f>_xlfn.XLOOKUP(D517,products!$A$2:$A$49,products!$D$2:$D$49,0)</f>
        <v>0.5</v>
      </c>
      <c r="L517" s="5">
        <f>_xlfn.XLOOKUP(D517,products!$A$2:$A$49,products!$E$2:$E$49,0)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_xlfn.XLOOKUP(orders!C518,customers!$A$1:$A$1001,customers!$G$1:$G$1001,0)</f>
        <v>United States</v>
      </c>
      <c r="I518" t="str">
        <f>_xlfn.XLOOKUP(D518,products!$A$2:$A$49,products!$B$2:$B$49,0)</f>
        <v>Rob</v>
      </c>
      <c r="J518" t="str">
        <f>_xlfn.XLOOKUP(D518,products!$A$2:$A$49,products!$C$2:$C$49,0)</f>
        <v>D</v>
      </c>
      <c r="K518" s="4">
        <f>_xlfn.XLOOKUP(D518,products!$A$2:$A$49,products!$D$2:$D$49,0)</f>
        <v>2.5</v>
      </c>
      <c r="L518" s="5">
        <f>_xlfn.XLOOKUP(D518,products!$A$2:$A$49,products!$E$2:$E$49,0)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_xlfn.XLOOKUP(orders!C519,customers!$A$1:$A$1001,customers!$G$1:$G$1001,0)</f>
        <v>United States</v>
      </c>
      <c r="I519" t="str">
        <f>_xlfn.XLOOKUP(D519,products!$A$2:$A$49,products!$B$2:$B$49,0)</f>
        <v>Lib</v>
      </c>
      <c r="J519" t="str">
        <f>_xlfn.XLOOKUP(D519,products!$A$2:$A$49,products!$C$2:$C$49,0)</f>
        <v>D</v>
      </c>
      <c r="K519" s="4">
        <f>_xlfn.XLOOKUP(D519,products!$A$2:$A$49,products!$D$2:$D$49,0)</f>
        <v>0.2</v>
      </c>
      <c r="L519" s="5">
        <f>_xlfn.XLOOKUP(D519,products!$A$2:$A$49,products!$E$2:$E$49,0)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_xlfn.XLOOKUP(orders!C520,customers!$A$1:$A$1001,customers!$G$1:$G$1001,0)</f>
        <v>United States</v>
      </c>
      <c r="I520" t="str">
        <f>_xlfn.XLOOKUP(D520,products!$A$2:$A$49,products!$B$2:$B$49,0)</f>
        <v>Exc</v>
      </c>
      <c r="J520" t="str">
        <f>_xlfn.XLOOKUP(D520,products!$A$2:$A$49,products!$C$2:$C$49,0)</f>
        <v>D</v>
      </c>
      <c r="K520" s="4">
        <f>_xlfn.XLOOKUP(D520,products!$A$2:$A$49,products!$D$2:$D$49,0)</f>
        <v>2.5</v>
      </c>
      <c r="L520" s="5">
        <f>_xlfn.XLOOKUP(D520,products!$A$2:$A$49,products!$E$2:$E$49,0)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_xlfn.XLOOKUP(orders!C521,customers!$A$1:$A$1001,customers!$G$1:$G$1001,0)</f>
        <v>Ireland</v>
      </c>
      <c r="I521" t="str">
        <f>_xlfn.XLOOKUP(D521,products!$A$2:$A$49,products!$B$2:$B$49,0)</f>
        <v>Ara</v>
      </c>
      <c r="J521" t="str">
        <f>_xlfn.XLOOKUP(D521,products!$A$2:$A$49,products!$C$2:$C$49,0)</f>
        <v>D</v>
      </c>
      <c r="K521" s="4">
        <f>_xlfn.XLOOKUP(D521,products!$A$2:$A$49,products!$D$2:$D$49,0)</f>
        <v>0.5</v>
      </c>
      <c r="L521" s="5">
        <f>_xlfn.XLOOKUP(D521,products!$A$2:$A$49,products!$E$2:$E$49,0)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_xlfn.XLOOKUP(orders!C522,customers!$A$1:$A$1001,customers!$G$1:$G$1001,0)</f>
        <v>United States</v>
      </c>
      <c r="I522" t="str">
        <f>_xlfn.XLOOKUP(D522,products!$A$2:$A$49,products!$B$2:$B$49,0)</f>
        <v>Lib</v>
      </c>
      <c r="J522" t="str">
        <f>_xlfn.XLOOKUP(D522,products!$A$2:$A$49,products!$C$2:$C$49,0)</f>
        <v>D</v>
      </c>
      <c r="K522" s="4">
        <f>_xlfn.XLOOKUP(D522,products!$A$2:$A$49,products!$D$2:$D$49,0)</f>
        <v>0.2</v>
      </c>
      <c r="L522" s="5">
        <f>_xlfn.XLOOKUP(D522,products!$A$2:$A$49,products!$E$2:$E$49,0)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_xlfn.XLOOKUP(orders!C523,customers!$A$1:$A$1001,customers!$G$1:$G$1001,0)</f>
        <v>United States</v>
      </c>
      <c r="I523" t="str">
        <f>_xlfn.XLOOKUP(D523,products!$A$2:$A$49,products!$B$2:$B$49,0)</f>
        <v>Rob</v>
      </c>
      <c r="J523" t="str">
        <f>_xlfn.XLOOKUP(D523,products!$A$2:$A$49,products!$C$2:$C$49,0)</f>
        <v>M</v>
      </c>
      <c r="K523" s="4">
        <f>_xlfn.XLOOKUP(D523,products!$A$2:$A$49,products!$D$2:$D$49,0)</f>
        <v>1</v>
      </c>
      <c r="L523" s="5">
        <f>_xlfn.XLOOKUP(D523,products!$A$2:$A$49,products!$E$2:$E$49,0)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_xlfn.XLOOKUP(orders!C524,customers!$A$1:$A$1001,customers!$G$1:$G$1001,0)</f>
        <v>United States</v>
      </c>
      <c r="I524" t="str">
        <f>_xlfn.XLOOKUP(D524,products!$A$2:$A$49,products!$B$2:$B$49,0)</f>
        <v>Rob</v>
      </c>
      <c r="J524" t="str">
        <f>_xlfn.XLOOKUP(D524,products!$A$2:$A$49,products!$C$2:$C$49,0)</f>
        <v>M</v>
      </c>
      <c r="K524" s="4">
        <f>_xlfn.XLOOKUP(D524,products!$A$2:$A$49,products!$D$2:$D$49,0)</f>
        <v>0.5</v>
      </c>
      <c r="L524" s="5">
        <f>_xlfn.XLOOKUP(D524,products!$A$2:$A$49,products!$E$2:$E$49,0)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_xlfn.XLOOKUP(orders!C525,customers!$A$1:$A$1001,customers!$G$1:$G$1001,0)</f>
        <v>Ireland</v>
      </c>
      <c r="I525" t="str">
        <f>_xlfn.XLOOKUP(D525,products!$A$2:$A$49,products!$B$2:$B$49,0)</f>
        <v>Lib</v>
      </c>
      <c r="J525" t="str">
        <f>_xlfn.XLOOKUP(D525,products!$A$2:$A$49,products!$C$2:$C$49,0)</f>
        <v>D</v>
      </c>
      <c r="K525" s="4">
        <f>_xlfn.XLOOKUP(D525,products!$A$2:$A$49,products!$D$2:$D$49,0)</f>
        <v>2.5</v>
      </c>
      <c r="L525" s="5">
        <f>_xlfn.XLOOKUP(D525,products!$A$2:$A$49,products!$E$2:$E$49,0)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_xlfn.XLOOKUP(orders!C526,customers!$A$1:$A$1001,customers!$G$1:$G$1001,0)</f>
        <v>United States</v>
      </c>
      <c r="I526" t="str">
        <f>_xlfn.XLOOKUP(D526,products!$A$2:$A$49,products!$B$2:$B$49,0)</f>
        <v>Lib</v>
      </c>
      <c r="J526" t="str">
        <f>_xlfn.XLOOKUP(D526,products!$A$2:$A$49,products!$C$2:$C$49,0)</f>
        <v>L</v>
      </c>
      <c r="K526" s="4">
        <f>_xlfn.XLOOKUP(D526,products!$A$2:$A$49,products!$D$2:$D$49,0)</f>
        <v>2.5</v>
      </c>
      <c r="L526" s="5">
        <f>_xlfn.XLOOKUP(D526,products!$A$2:$A$49,products!$E$2:$E$49,0)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_xlfn.XLOOKUP(orders!C527,customers!$A$1:$A$1001,customers!$G$1:$G$1001,0)</f>
        <v>United States</v>
      </c>
      <c r="I527" t="str">
        <f>_xlfn.XLOOKUP(D527,products!$A$2:$A$49,products!$B$2:$B$49,0)</f>
        <v>Rob</v>
      </c>
      <c r="J527" t="str">
        <f>_xlfn.XLOOKUP(D527,products!$A$2:$A$49,products!$C$2:$C$49,0)</f>
        <v>D</v>
      </c>
      <c r="K527" s="4">
        <f>_xlfn.XLOOKUP(D527,products!$A$2:$A$49,products!$D$2:$D$49,0)</f>
        <v>0.2</v>
      </c>
      <c r="L527" s="5">
        <f>_xlfn.XLOOKUP(D527,products!$A$2:$A$49,products!$E$2:$E$49,0)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_xlfn.XLOOKUP(orders!C528,customers!$A$1:$A$1001,customers!$G$1:$G$1001,0)</f>
        <v>United States</v>
      </c>
      <c r="I528" t="str">
        <f>_xlfn.XLOOKUP(D528,products!$A$2:$A$49,products!$B$2:$B$49,0)</f>
        <v>Exc</v>
      </c>
      <c r="J528" t="str">
        <f>_xlfn.XLOOKUP(D528,products!$A$2:$A$49,products!$C$2:$C$49,0)</f>
        <v>M</v>
      </c>
      <c r="K528" s="4">
        <f>_xlfn.XLOOKUP(D528,products!$A$2:$A$49,products!$D$2:$D$49,0)</f>
        <v>2.5</v>
      </c>
      <c r="L528" s="5">
        <f>_xlfn.XLOOKUP(D528,products!$A$2:$A$49,products!$E$2:$E$49,0)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_xlfn.XLOOKUP(orders!C529,customers!$A$1:$A$1001,customers!$G$1:$G$1001,0)</f>
        <v>United Kingdom</v>
      </c>
      <c r="I529" t="str">
        <f>_xlfn.XLOOKUP(D529,products!$A$2:$A$49,products!$B$2:$B$49,0)</f>
        <v>Exc</v>
      </c>
      <c r="J529" t="str">
        <f>_xlfn.XLOOKUP(D529,products!$A$2:$A$49,products!$C$2:$C$49,0)</f>
        <v>M</v>
      </c>
      <c r="K529" s="4">
        <f>_xlfn.XLOOKUP(D529,products!$A$2:$A$49,products!$D$2:$D$49,0)</f>
        <v>0.5</v>
      </c>
      <c r="L529" s="5">
        <f>_xlfn.XLOOKUP(D529,products!$A$2:$A$49,products!$E$2:$E$49,0)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_xlfn.XLOOKUP(orders!C530,customers!$A$1:$A$1001,customers!$G$1:$G$1001,0)</f>
        <v>United States</v>
      </c>
      <c r="I530" t="str">
        <f>_xlfn.XLOOKUP(D530,products!$A$2:$A$49,products!$B$2:$B$49,0)</f>
        <v>Exc</v>
      </c>
      <c r="J530" t="str">
        <f>_xlfn.XLOOKUP(D530,products!$A$2:$A$49,products!$C$2:$C$49,0)</f>
        <v>L</v>
      </c>
      <c r="K530" s="4">
        <f>_xlfn.XLOOKUP(D530,products!$A$2:$A$49,products!$D$2:$D$49,0)</f>
        <v>0.5</v>
      </c>
      <c r="L530" s="5">
        <f>_xlfn.XLOOKUP(D530,products!$A$2:$A$49,products!$E$2:$E$49,0)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_xlfn.XLOOKUP(orders!C531,customers!$A$1:$A$1001,customers!$G$1:$G$1001,0)</f>
        <v>United States</v>
      </c>
      <c r="I531" t="str">
        <f>_xlfn.XLOOKUP(D531,products!$A$2:$A$49,products!$B$2:$B$49,0)</f>
        <v>Rob</v>
      </c>
      <c r="J531" t="str">
        <f>_xlfn.XLOOKUP(D531,products!$A$2:$A$49,products!$C$2:$C$49,0)</f>
        <v>M</v>
      </c>
      <c r="K531" s="4">
        <f>_xlfn.XLOOKUP(D531,products!$A$2:$A$49,products!$D$2:$D$49,0)</f>
        <v>1</v>
      </c>
      <c r="L531" s="5">
        <f>_xlfn.XLOOKUP(D531,products!$A$2:$A$49,products!$E$2:$E$49,0)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_xlfn.XLOOKUP(orders!C532,customers!$A$1:$A$1001,customers!$G$1:$G$1001,0)</f>
        <v>United States</v>
      </c>
      <c r="I532" t="str">
        <f>_xlfn.XLOOKUP(D532,products!$A$2:$A$49,products!$B$2:$B$49,0)</f>
        <v>Rob</v>
      </c>
      <c r="J532" t="str">
        <f>_xlfn.XLOOKUP(D532,products!$A$2:$A$49,products!$C$2:$C$49,0)</f>
        <v>M</v>
      </c>
      <c r="K532" s="4">
        <f>_xlfn.XLOOKUP(D532,products!$A$2:$A$49,products!$D$2:$D$49,0)</f>
        <v>1</v>
      </c>
      <c r="L532" s="5">
        <f>_xlfn.XLOOKUP(D532,products!$A$2:$A$49,products!$E$2:$E$49,0)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_xlfn.XLOOKUP(orders!C533,customers!$A$1:$A$1001,customers!$G$1:$G$1001,0)</f>
        <v>United States</v>
      </c>
      <c r="I533" t="str">
        <f>_xlfn.XLOOKUP(D533,products!$A$2:$A$49,products!$B$2:$B$49,0)</f>
        <v>Rob</v>
      </c>
      <c r="J533" t="str">
        <f>_xlfn.XLOOKUP(D533,products!$A$2:$A$49,products!$C$2:$C$49,0)</f>
        <v>D</v>
      </c>
      <c r="K533" s="4">
        <f>_xlfn.XLOOKUP(D533,products!$A$2:$A$49,products!$D$2:$D$49,0)</f>
        <v>1</v>
      </c>
      <c r="L533" s="5">
        <f>_xlfn.XLOOKUP(D533,products!$A$2:$A$49,products!$E$2:$E$49,0)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_xlfn.XLOOKUP(orders!C534,customers!$A$1:$A$1001,customers!$G$1:$G$1001,0)</f>
        <v>United States</v>
      </c>
      <c r="I534" t="str">
        <f>_xlfn.XLOOKUP(D534,products!$A$2:$A$49,products!$B$2:$B$49,0)</f>
        <v>Exc</v>
      </c>
      <c r="J534" t="str">
        <f>_xlfn.XLOOKUP(D534,products!$A$2:$A$49,products!$C$2:$C$49,0)</f>
        <v>M</v>
      </c>
      <c r="K534" s="4">
        <f>_xlfn.XLOOKUP(D534,products!$A$2:$A$49,products!$D$2:$D$49,0)</f>
        <v>0.5</v>
      </c>
      <c r="L534" s="5">
        <f>_xlfn.XLOOKUP(D534,products!$A$2:$A$49,products!$E$2:$E$49,0)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_xlfn.XLOOKUP(orders!C535,customers!$A$1:$A$1001,customers!$G$1:$G$1001,0)</f>
        <v>United States</v>
      </c>
      <c r="I535" t="str">
        <f>_xlfn.XLOOKUP(D535,products!$A$2:$A$49,products!$B$2:$B$49,0)</f>
        <v>Rob</v>
      </c>
      <c r="J535" t="str">
        <f>_xlfn.XLOOKUP(D535,products!$A$2:$A$49,products!$C$2:$C$49,0)</f>
        <v>D</v>
      </c>
      <c r="K535" s="4">
        <f>_xlfn.XLOOKUP(D535,products!$A$2:$A$49,products!$D$2:$D$49,0)</f>
        <v>0.5</v>
      </c>
      <c r="L535" s="5">
        <f>_xlfn.XLOOKUP(D535,products!$A$2:$A$49,products!$E$2:$E$49,0)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_xlfn.XLOOKUP(orders!C536,customers!$A$1:$A$1001,customers!$G$1:$G$1001,0)</f>
        <v>Ireland</v>
      </c>
      <c r="I536" t="str">
        <f>_xlfn.XLOOKUP(D536,products!$A$2:$A$49,products!$B$2:$B$49,0)</f>
        <v>Rob</v>
      </c>
      <c r="J536" t="str">
        <f>_xlfn.XLOOKUP(D536,products!$A$2:$A$49,products!$C$2:$C$49,0)</f>
        <v>M</v>
      </c>
      <c r="K536" s="4">
        <f>_xlfn.XLOOKUP(D536,products!$A$2:$A$49,products!$D$2:$D$49,0)</f>
        <v>2.5</v>
      </c>
      <c r="L536" s="5">
        <f>_xlfn.XLOOKUP(D536,products!$A$2:$A$49,products!$E$2:$E$49,0)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_xlfn.XLOOKUP(orders!C537,customers!$A$1:$A$1001,customers!$G$1:$G$1001,0)</f>
        <v>Ireland</v>
      </c>
      <c r="I537" t="str">
        <f>_xlfn.XLOOKUP(D537,products!$A$2:$A$49,products!$B$2:$B$49,0)</f>
        <v>Lib</v>
      </c>
      <c r="J537" t="str">
        <f>_xlfn.XLOOKUP(D537,products!$A$2:$A$49,products!$C$2:$C$49,0)</f>
        <v>L</v>
      </c>
      <c r="K537" s="4">
        <f>_xlfn.XLOOKUP(D537,products!$A$2:$A$49,products!$D$2:$D$49,0)</f>
        <v>0.2</v>
      </c>
      <c r="L537" s="5">
        <f>_xlfn.XLOOKUP(D537,products!$A$2:$A$49,products!$E$2:$E$49,0)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_xlfn.XLOOKUP(orders!C538,customers!$A$1:$A$1001,customers!$G$1:$G$1001,0)</f>
        <v>Ireland</v>
      </c>
      <c r="I538" t="str">
        <f>_xlfn.XLOOKUP(D538,products!$A$2:$A$49,products!$B$2:$B$49,0)</f>
        <v>Rob</v>
      </c>
      <c r="J538" t="str">
        <f>_xlfn.XLOOKUP(D538,products!$A$2:$A$49,products!$C$2:$C$49,0)</f>
        <v>D</v>
      </c>
      <c r="K538" s="4">
        <f>_xlfn.XLOOKUP(D538,products!$A$2:$A$49,products!$D$2:$D$49,0)</f>
        <v>0.2</v>
      </c>
      <c r="L538" s="5">
        <f>_xlfn.XLOOKUP(D538,products!$A$2:$A$49,products!$E$2:$E$49,0)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_xlfn.XLOOKUP(orders!C539,customers!$A$1:$A$1001,customers!$G$1:$G$1001,0)</f>
        <v>United States</v>
      </c>
      <c r="I539" t="str">
        <f>_xlfn.XLOOKUP(D539,products!$A$2:$A$49,products!$B$2:$B$49,0)</f>
        <v>Exc</v>
      </c>
      <c r="J539" t="str">
        <f>_xlfn.XLOOKUP(D539,products!$A$2:$A$49,products!$C$2:$C$49,0)</f>
        <v>D</v>
      </c>
      <c r="K539" s="4">
        <f>_xlfn.XLOOKUP(D539,products!$A$2:$A$49,products!$D$2:$D$49,0)</f>
        <v>2.5</v>
      </c>
      <c r="L539" s="5">
        <f>_xlfn.XLOOKUP(D539,products!$A$2:$A$49,products!$E$2:$E$49,0)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_xlfn.XLOOKUP(orders!C540,customers!$A$1:$A$1001,customers!$G$1:$G$1001,0)</f>
        <v>United States</v>
      </c>
      <c r="I540" t="str">
        <f>_xlfn.XLOOKUP(D540,products!$A$2:$A$49,products!$B$2:$B$49,0)</f>
        <v>Rob</v>
      </c>
      <c r="J540" t="str">
        <f>_xlfn.XLOOKUP(D540,products!$A$2:$A$49,products!$C$2:$C$49,0)</f>
        <v>D</v>
      </c>
      <c r="K540" s="4">
        <f>_xlfn.XLOOKUP(D540,products!$A$2:$A$49,products!$D$2:$D$49,0)</f>
        <v>0.2</v>
      </c>
      <c r="L540" s="5">
        <f>_xlfn.XLOOKUP(D540,products!$A$2:$A$49,products!$E$2:$E$49,0)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_xlfn.XLOOKUP(orders!C541,customers!$A$1:$A$1001,customers!$G$1:$G$1001,0)</f>
        <v>United States</v>
      </c>
      <c r="I541" t="str">
        <f>_xlfn.XLOOKUP(D541,products!$A$2:$A$49,products!$B$2:$B$49,0)</f>
        <v>Rob</v>
      </c>
      <c r="J541" t="str">
        <f>_xlfn.XLOOKUP(D541,products!$A$2:$A$49,products!$C$2:$C$49,0)</f>
        <v>D</v>
      </c>
      <c r="K541" s="4">
        <f>_xlfn.XLOOKUP(D541,products!$A$2:$A$49,products!$D$2:$D$49,0)</f>
        <v>0.5</v>
      </c>
      <c r="L541" s="5">
        <f>_xlfn.XLOOKUP(D541,products!$A$2:$A$49,products!$E$2:$E$49,0)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_xlfn.XLOOKUP(orders!C542,customers!$A$1:$A$1001,customers!$G$1:$G$1001,0)</f>
        <v>United States</v>
      </c>
      <c r="I542" t="str">
        <f>_xlfn.XLOOKUP(D542,products!$A$2:$A$49,products!$B$2:$B$49,0)</f>
        <v>Lib</v>
      </c>
      <c r="J542" t="str">
        <f>_xlfn.XLOOKUP(D542,products!$A$2:$A$49,products!$C$2:$C$49,0)</f>
        <v>L</v>
      </c>
      <c r="K542" s="4">
        <f>_xlfn.XLOOKUP(D542,products!$A$2:$A$49,products!$D$2:$D$49,0)</f>
        <v>1</v>
      </c>
      <c r="L542" s="5">
        <f>_xlfn.XLOOKUP(D542,products!$A$2:$A$49,products!$E$2:$E$49,0)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_xlfn.XLOOKUP(orders!C543,customers!$A$1:$A$1001,customers!$G$1:$G$1001,0)</f>
        <v>Ireland</v>
      </c>
      <c r="I543" t="str">
        <f>_xlfn.XLOOKUP(D543,products!$A$2:$A$49,products!$B$2:$B$49,0)</f>
        <v>Ara</v>
      </c>
      <c r="J543" t="str">
        <f>_xlfn.XLOOKUP(D543,products!$A$2:$A$49,products!$C$2:$C$49,0)</f>
        <v>D</v>
      </c>
      <c r="K543" s="4">
        <f>_xlfn.XLOOKUP(D543,products!$A$2:$A$49,products!$D$2:$D$49,0)</f>
        <v>2.5</v>
      </c>
      <c r="L543" s="5">
        <f>_xlfn.XLOOKUP(D543,products!$A$2:$A$49,products!$E$2:$E$49,0)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_xlfn.XLOOKUP(orders!C544,customers!$A$1:$A$1001,customers!$G$1:$G$1001,0)</f>
        <v>United States</v>
      </c>
      <c r="I544" t="str">
        <f>_xlfn.XLOOKUP(D544,products!$A$2:$A$49,products!$B$2:$B$49,0)</f>
        <v>Ara</v>
      </c>
      <c r="J544" t="str">
        <f>_xlfn.XLOOKUP(D544,products!$A$2:$A$49,products!$C$2:$C$49,0)</f>
        <v>M</v>
      </c>
      <c r="K544" s="4">
        <f>_xlfn.XLOOKUP(D544,products!$A$2:$A$49,products!$D$2:$D$49,0)</f>
        <v>2.5</v>
      </c>
      <c r="L544" s="5">
        <f>_xlfn.XLOOKUP(D544,products!$A$2:$A$49,products!$E$2:$E$49,0)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_xlfn.XLOOKUP(orders!C545,customers!$A$1:$A$1001,customers!$G$1:$G$1001,0)</f>
        <v>United States</v>
      </c>
      <c r="I545" t="str">
        <f>_xlfn.XLOOKUP(D545,products!$A$2:$A$49,products!$B$2:$B$49,0)</f>
        <v>Rob</v>
      </c>
      <c r="J545" t="str">
        <f>_xlfn.XLOOKUP(D545,products!$A$2:$A$49,products!$C$2:$C$49,0)</f>
        <v>L</v>
      </c>
      <c r="K545" s="4">
        <f>_xlfn.XLOOKUP(D545,products!$A$2:$A$49,products!$D$2:$D$49,0)</f>
        <v>2.5</v>
      </c>
      <c r="L545" s="5">
        <f>_xlfn.XLOOKUP(D545,products!$A$2:$A$49,products!$E$2:$E$49,0)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_xlfn.XLOOKUP(orders!C546,customers!$A$1:$A$1001,customers!$G$1:$G$1001,0)</f>
        <v>United States</v>
      </c>
      <c r="I546" t="str">
        <f>_xlfn.XLOOKUP(D546,products!$A$2:$A$49,products!$B$2:$B$49,0)</f>
        <v>Ara</v>
      </c>
      <c r="J546" t="str">
        <f>_xlfn.XLOOKUP(D546,products!$A$2:$A$49,products!$C$2:$C$49,0)</f>
        <v>L</v>
      </c>
      <c r="K546" s="4">
        <f>_xlfn.XLOOKUP(D546,products!$A$2:$A$49,products!$D$2:$D$49,0)</f>
        <v>0.5</v>
      </c>
      <c r="L546" s="5">
        <f>_xlfn.XLOOKUP(D546,products!$A$2:$A$49,products!$E$2:$E$49,0)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_xlfn.XLOOKUP(orders!C547,customers!$A$1:$A$1001,customers!$G$1:$G$1001,0)</f>
        <v>United Kingdom</v>
      </c>
      <c r="I547" t="str">
        <f>_xlfn.XLOOKUP(D547,products!$A$2:$A$49,products!$B$2:$B$49,0)</f>
        <v>Lib</v>
      </c>
      <c r="J547" t="str">
        <f>_xlfn.XLOOKUP(D547,products!$A$2:$A$49,products!$C$2:$C$49,0)</f>
        <v>D</v>
      </c>
      <c r="K547" s="4">
        <f>_xlfn.XLOOKUP(D547,products!$A$2:$A$49,products!$D$2:$D$49,0)</f>
        <v>0.2</v>
      </c>
      <c r="L547" s="5">
        <f>_xlfn.XLOOKUP(D547,products!$A$2:$A$49,products!$E$2:$E$49,0)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_xlfn.XLOOKUP(orders!C548,customers!$A$1:$A$1001,customers!$G$1:$G$1001,0)</f>
        <v>Ireland</v>
      </c>
      <c r="I548" t="str">
        <f>_xlfn.XLOOKUP(D548,products!$A$2:$A$49,products!$B$2:$B$49,0)</f>
        <v>Exc</v>
      </c>
      <c r="J548" t="str">
        <f>_xlfn.XLOOKUP(D548,products!$A$2:$A$49,products!$C$2:$C$49,0)</f>
        <v>D</v>
      </c>
      <c r="K548" s="4">
        <f>_xlfn.XLOOKUP(D548,products!$A$2:$A$49,products!$D$2:$D$49,0)</f>
        <v>2.5</v>
      </c>
      <c r="L548" s="5">
        <f>_xlfn.XLOOKUP(D548,products!$A$2:$A$49,products!$E$2:$E$49,0)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_xlfn.XLOOKUP(orders!C549,customers!$A$1:$A$1001,customers!$G$1:$G$1001,0)</f>
        <v>United States</v>
      </c>
      <c r="I549" t="str">
        <f>_xlfn.XLOOKUP(D549,products!$A$2:$A$49,products!$B$2:$B$49,0)</f>
        <v>Rob</v>
      </c>
      <c r="J549" t="str">
        <f>_xlfn.XLOOKUP(D549,products!$A$2:$A$49,products!$C$2:$C$49,0)</f>
        <v>L</v>
      </c>
      <c r="K549" s="4">
        <f>_xlfn.XLOOKUP(D549,products!$A$2:$A$49,products!$D$2:$D$49,0)</f>
        <v>0.2</v>
      </c>
      <c r="L549" s="5">
        <f>_xlfn.XLOOKUP(D549,products!$A$2:$A$49,products!$E$2:$E$49,0)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_xlfn.XLOOKUP(orders!C550,customers!$A$1:$A$1001,customers!$G$1:$G$1001,0)</f>
        <v>United States</v>
      </c>
      <c r="I550" t="str">
        <f>_xlfn.XLOOKUP(D550,products!$A$2:$A$49,products!$B$2:$B$49,0)</f>
        <v>Exc</v>
      </c>
      <c r="J550" t="str">
        <f>_xlfn.XLOOKUP(D550,products!$A$2:$A$49,products!$C$2:$C$49,0)</f>
        <v>L</v>
      </c>
      <c r="K550" s="4">
        <f>_xlfn.XLOOKUP(D550,products!$A$2:$A$49,products!$D$2:$D$49,0)</f>
        <v>0.2</v>
      </c>
      <c r="L550" s="5">
        <f>_xlfn.XLOOKUP(D550,products!$A$2:$A$49,products!$E$2:$E$49,0)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_xlfn.XLOOKUP(orders!C551,customers!$A$1:$A$1001,customers!$G$1:$G$1001,0)</f>
        <v>United States</v>
      </c>
      <c r="I551" t="str">
        <f>_xlfn.XLOOKUP(D551,products!$A$2:$A$49,products!$B$2:$B$49,0)</f>
        <v>Exc</v>
      </c>
      <c r="J551" t="str">
        <f>_xlfn.XLOOKUP(D551,products!$A$2:$A$49,products!$C$2:$C$49,0)</f>
        <v>L</v>
      </c>
      <c r="K551" s="4">
        <f>_xlfn.XLOOKUP(D551,products!$A$2:$A$49,products!$D$2:$D$49,0)</f>
        <v>0.2</v>
      </c>
      <c r="L551" s="5">
        <f>_xlfn.XLOOKUP(D551,products!$A$2:$A$49,products!$E$2:$E$49,0)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_xlfn.XLOOKUP(orders!C552,customers!$A$1:$A$1001,customers!$G$1:$G$1001,0)</f>
        <v>United States</v>
      </c>
      <c r="I552" t="str">
        <f>_xlfn.XLOOKUP(D552,products!$A$2:$A$49,products!$B$2:$B$49,0)</f>
        <v>Lib</v>
      </c>
      <c r="J552" t="str">
        <f>_xlfn.XLOOKUP(D552,products!$A$2:$A$49,products!$C$2:$C$49,0)</f>
        <v>D</v>
      </c>
      <c r="K552" s="4">
        <f>_xlfn.XLOOKUP(D552,products!$A$2:$A$49,products!$D$2:$D$49,0)</f>
        <v>0.2</v>
      </c>
      <c r="L552" s="5">
        <f>_xlfn.XLOOKUP(D552,products!$A$2:$A$49,products!$E$2:$E$49,0)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_xlfn.XLOOKUP(orders!C553,customers!$A$1:$A$1001,customers!$G$1:$G$1001,0)</f>
        <v>United States</v>
      </c>
      <c r="I553" t="str">
        <f>_xlfn.XLOOKUP(D553,products!$A$2:$A$49,products!$B$2:$B$49,0)</f>
        <v>Exc</v>
      </c>
      <c r="J553" t="str">
        <f>_xlfn.XLOOKUP(D553,products!$A$2:$A$49,products!$C$2:$C$49,0)</f>
        <v>D</v>
      </c>
      <c r="K553" s="4">
        <f>_xlfn.XLOOKUP(D553,products!$A$2:$A$49,products!$D$2:$D$49,0)</f>
        <v>0.2</v>
      </c>
      <c r="L553" s="5">
        <f>_xlfn.XLOOKUP(D553,products!$A$2:$A$49,products!$E$2:$E$49,0)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_xlfn.XLOOKUP(orders!C554,customers!$A$1:$A$1001,customers!$G$1:$G$1001,0)</f>
        <v>United Kingdom</v>
      </c>
      <c r="I554" t="str">
        <f>_xlfn.XLOOKUP(D554,products!$A$2:$A$49,products!$B$2:$B$49,0)</f>
        <v>Exc</v>
      </c>
      <c r="J554" t="str">
        <f>_xlfn.XLOOKUP(D554,products!$A$2:$A$49,products!$C$2:$C$49,0)</f>
        <v>L</v>
      </c>
      <c r="K554" s="4">
        <f>_xlfn.XLOOKUP(D554,products!$A$2:$A$49,products!$D$2:$D$49,0)</f>
        <v>0.2</v>
      </c>
      <c r="L554" s="5">
        <f>_xlfn.XLOOKUP(D554,products!$A$2:$A$49,products!$E$2:$E$49,0)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_xlfn.XLOOKUP(orders!C555,customers!$A$1:$A$1001,customers!$G$1:$G$1001,0)</f>
        <v>United States</v>
      </c>
      <c r="I555" t="str">
        <f>_xlfn.XLOOKUP(D555,products!$A$2:$A$49,products!$B$2:$B$49,0)</f>
        <v>Exc</v>
      </c>
      <c r="J555" t="str">
        <f>_xlfn.XLOOKUP(D555,products!$A$2:$A$49,products!$C$2:$C$49,0)</f>
        <v>M</v>
      </c>
      <c r="K555" s="4">
        <f>_xlfn.XLOOKUP(D555,products!$A$2:$A$49,products!$D$2:$D$49,0)</f>
        <v>1</v>
      </c>
      <c r="L555" s="5">
        <f>_xlfn.XLOOKUP(D555,products!$A$2:$A$49,products!$E$2:$E$49,0)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_xlfn.XLOOKUP(orders!C556,customers!$A$1:$A$1001,customers!$G$1:$G$1001,0)</f>
        <v>United Kingdom</v>
      </c>
      <c r="I556" t="str">
        <f>_xlfn.XLOOKUP(D556,products!$A$2:$A$49,products!$B$2:$B$49,0)</f>
        <v>Rob</v>
      </c>
      <c r="J556" t="str">
        <f>_xlfn.XLOOKUP(D556,products!$A$2:$A$49,products!$C$2:$C$49,0)</f>
        <v>L</v>
      </c>
      <c r="K556" s="4">
        <f>_xlfn.XLOOKUP(D556,products!$A$2:$A$49,products!$D$2:$D$49,0)</f>
        <v>2.5</v>
      </c>
      <c r="L556" s="5">
        <f>_xlfn.XLOOKUP(D556,products!$A$2:$A$49,products!$E$2:$E$49,0)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_xlfn.XLOOKUP(orders!C557,customers!$A$1:$A$1001,customers!$G$1:$G$1001,0)</f>
        <v>Ireland</v>
      </c>
      <c r="I557" t="str">
        <f>_xlfn.XLOOKUP(D557,products!$A$2:$A$49,products!$B$2:$B$49,0)</f>
        <v>Exc</v>
      </c>
      <c r="J557" t="str">
        <f>_xlfn.XLOOKUP(D557,products!$A$2:$A$49,products!$C$2:$C$49,0)</f>
        <v>M</v>
      </c>
      <c r="K557" s="4">
        <f>_xlfn.XLOOKUP(D557,products!$A$2:$A$49,products!$D$2:$D$49,0)</f>
        <v>1</v>
      </c>
      <c r="L557" s="5">
        <f>_xlfn.XLOOKUP(D557,products!$A$2:$A$49,products!$E$2:$E$49,0)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_xlfn.XLOOKUP(orders!C558,customers!$A$1:$A$1001,customers!$G$1:$G$1001,0)</f>
        <v>United States</v>
      </c>
      <c r="I558" t="str">
        <f>_xlfn.XLOOKUP(D558,products!$A$2:$A$49,products!$B$2:$B$49,0)</f>
        <v>Lib</v>
      </c>
      <c r="J558" t="str">
        <f>_xlfn.XLOOKUP(D558,products!$A$2:$A$49,products!$C$2:$C$49,0)</f>
        <v>M</v>
      </c>
      <c r="K558" s="4">
        <f>_xlfn.XLOOKUP(D558,products!$A$2:$A$49,products!$D$2:$D$49,0)</f>
        <v>0.2</v>
      </c>
      <c r="L558" s="5">
        <f>_xlfn.XLOOKUP(D558,products!$A$2:$A$49,products!$E$2:$E$49,0)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_xlfn.XLOOKUP(orders!C559,customers!$A$1:$A$1001,customers!$G$1:$G$1001,0)</f>
        <v>Ireland</v>
      </c>
      <c r="I559" t="str">
        <f>_xlfn.XLOOKUP(D559,products!$A$2:$A$49,products!$B$2:$B$49,0)</f>
        <v>Exc</v>
      </c>
      <c r="J559" t="str">
        <f>_xlfn.XLOOKUP(D559,products!$A$2:$A$49,products!$C$2:$C$49,0)</f>
        <v>L</v>
      </c>
      <c r="K559" s="4">
        <f>_xlfn.XLOOKUP(D559,products!$A$2:$A$49,products!$D$2:$D$49,0)</f>
        <v>1</v>
      </c>
      <c r="L559" s="5">
        <f>_xlfn.XLOOKUP(D559,products!$A$2:$A$49,products!$E$2:$E$49,0)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_xlfn.XLOOKUP(orders!C560,customers!$A$1:$A$1001,customers!$G$1:$G$1001,0)</f>
        <v>United States</v>
      </c>
      <c r="I560" t="str">
        <f>_xlfn.XLOOKUP(D560,products!$A$2:$A$49,products!$B$2:$B$49,0)</f>
        <v>Lib</v>
      </c>
      <c r="J560" t="str">
        <f>_xlfn.XLOOKUP(D560,products!$A$2:$A$49,products!$C$2:$C$49,0)</f>
        <v>D</v>
      </c>
      <c r="K560" s="4">
        <f>_xlfn.XLOOKUP(D560,products!$A$2:$A$49,products!$D$2:$D$49,0)</f>
        <v>0.2</v>
      </c>
      <c r="L560" s="5">
        <f>_xlfn.XLOOKUP(D560,products!$A$2:$A$49,products!$E$2:$E$49,0)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_xlfn.XLOOKUP(orders!C561,customers!$A$1:$A$1001,customers!$G$1:$G$1001,0)</f>
        <v>United States</v>
      </c>
      <c r="I561" t="str">
        <f>_xlfn.XLOOKUP(D561,products!$A$2:$A$49,products!$B$2:$B$49,0)</f>
        <v>Ara</v>
      </c>
      <c r="J561" t="str">
        <f>_xlfn.XLOOKUP(D561,products!$A$2:$A$49,products!$C$2:$C$49,0)</f>
        <v>L</v>
      </c>
      <c r="K561" s="4">
        <f>_xlfn.XLOOKUP(D561,products!$A$2:$A$49,products!$D$2:$D$49,0)</f>
        <v>1</v>
      </c>
      <c r="L561" s="5">
        <f>_xlfn.XLOOKUP(D561,products!$A$2:$A$49,products!$E$2:$E$49,0)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_xlfn.XLOOKUP(orders!C562,customers!$A$1:$A$1001,customers!$G$1:$G$1001,0)</f>
        <v>United States</v>
      </c>
      <c r="I562" t="str">
        <f>_xlfn.XLOOKUP(D562,products!$A$2:$A$49,products!$B$2:$B$49,0)</f>
        <v>Exc</v>
      </c>
      <c r="J562" t="str">
        <f>_xlfn.XLOOKUP(D562,products!$A$2:$A$49,products!$C$2:$C$49,0)</f>
        <v>M</v>
      </c>
      <c r="K562" s="4">
        <f>_xlfn.XLOOKUP(D562,products!$A$2:$A$49,products!$D$2:$D$49,0)</f>
        <v>2.5</v>
      </c>
      <c r="L562" s="5">
        <f>_xlfn.XLOOKUP(D562,products!$A$2:$A$49,products!$E$2:$E$49,0)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_xlfn.XLOOKUP(orders!C563,customers!$A$1:$A$1001,customers!$G$1:$G$1001,0)</f>
        <v>Ireland</v>
      </c>
      <c r="I563" t="str">
        <f>_xlfn.XLOOKUP(D563,products!$A$2:$A$49,products!$B$2:$B$49,0)</f>
        <v>Ara</v>
      </c>
      <c r="J563" t="str">
        <f>_xlfn.XLOOKUP(D563,products!$A$2:$A$49,products!$C$2:$C$49,0)</f>
        <v>D</v>
      </c>
      <c r="K563" s="4">
        <f>_xlfn.XLOOKUP(D563,products!$A$2:$A$49,products!$D$2:$D$49,0)</f>
        <v>0.2</v>
      </c>
      <c r="L563" s="5">
        <f>_xlfn.XLOOKUP(D563,products!$A$2:$A$49,products!$E$2:$E$49,0)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_xlfn.XLOOKUP(orders!C564,customers!$A$1:$A$1001,customers!$G$1:$G$1001,0)</f>
        <v>United Kingdom</v>
      </c>
      <c r="I564" t="str">
        <f>_xlfn.XLOOKUP(D564,products!$A$2:$A$49,products!$B$2:$B$49,0)</f>
        <v>Lib</v>
      </c>
      <c r="J564" t="str">
        <f>_xlfn.XLOOKUP(D564,products!$A$2:$A$49,products!$C$2:$C$49,0)</f>
        <v>L</v>
      </c>
      <c r="K564" s="4">
        <f>_xlfn.XLOOKUP(D564,products!$A$2:$A$49,products!$D$2:$D$49,0)</f>
        <v>0.2</v>
      </c>
      <c r="L564" s="5">
        <f>_xlfn.XLOOKUP(D564,products!$A$2:$A$49,products!$E$2:$E$49,0)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_xlfn.XLOOKUP(orders!C565,customers!$A$1:$A$1001,customers!$G$1:$G$1001,0)</f>
        <v>United Kingdom</v>
      </c>
      <c r="I565" t="str">
        <f>_xlfn.XLOOKUP(D565,products!$A$2:$A$49,products!$B$2:$B$49,0)</f>
        <v>Exc</v>
      </c>
      <c r="J565" t="str">
        <f>_xlfn.XLOOKUP(D565,products!$A$2:$A$49,products!$C$2:$C$49,0)</f>
        <v>M</v>
      </c>
      <c r="K565" s="4">
        <f>_xlfn.XLOOKUP(D565,products!$A$2:$A$49,products!$D$2:$D$49,0)</f>
        <v>1</v>
      </c>
      <c r="L565" s="5">
        <f>_xlfn.XLOOKUP(D565,products!$A$2:$A$49,products!$E$2:$E$49,0)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_xlfn.XLOOKUP(orders!C566,customers!$A$1:$A$1001,customers!$G$1:$G$1001,0)</f>
        <v>United States</v>
      </c>
      <c r="I566" t="str">
        <f>_xlfn.XLOOKUP(D566,products!$A$2:$A$49,products!$B$2:$B$49,0)</f>
        <v>Rob</v>
      </c>
      <c r="J566" t="str">
        <f>_xlfn.XLOOKUP(D566,products!$A$2:$A$49,products!$C$2:$C$49,0)</f>
        <v>L</v>
      </c>
      <c r="K566" s="4">
        <f>_xlfn.XLOOKUP(D566,products!$A$2:$A$49,products!$D$2:$D$49,0)</f>
        <v>0.5</v>
      </c>
      <c r="L566" s="5">
        <f>_xlfn.XLOOKUP(D566,products!$A$2:$A$49,products!$E$2:$E$49,0)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_xlfn.XLOOKUP(orders!C567,customers!$A$1:$A$1001,customers!$G$1:$G$1001,0)</f>
        <v>United States</v>
      </c>
      <c r="I567" t="str">
        <f>_xlfn.XLOOKUP(D567,products!$A$2:$A$49,products!$B$2:$B$49,0)</f>
        <v>Rob</v>
      </c>
      <c r="J567" t="str">
        <f>_xlfn.XLOOKUP(D567,products!$A$2:$A$49,products!$C$2:$C$49,0)</f>
        <v>D</v>
      </c>
      <c r="K567" s="4">
        <f>_xlfn.XLOOKUP(D567,products!$A$2:$A$49,products!$D$2:$D$49,0)</f>
        <v>2.5</v>
      </c>
      <c r="L567" s="5">
        <f>_xlfn.XLOOKUP(D567,products!$A$2:$A$49,products!$E$2:$E$49,0)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_xlfn.XLOOKUP(orders!C568,customers!$A$1:$A$1001,customers!$G$1:$G$1001,0)</f>
        <v>United States</v>
      </c>
      <c r="I568" t="str">
        <f>_xlfn.XLOOKUP(D568,products!$A$2:$A$49,products!$B$2:$B$49,0)</f>
        <v>Ara</v>
      </c>
      <c r="J568" t="str">
        <f>_xlfn.XLOOKUP(D568,products!$A$2:$A$49,products!$C$2:$C$49,0)</f>
        <v>M</v>
      </c>
      <c r="K568" s="4">
        <f>_xlfn.XLOOKUP(D568,products!$A$2:$A$49,products!$D$2:$D$49,0)</f>
        <v>0.2</v>
      </c>
      <c r="L568" s="5">
        <f>_xlfn.XLOOKUP(D568,products!$A$2:$A$49,products!$E$2:$E$49,0)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_xlfn.XLOOKUP(orders!C569,customers!$A$1:$A$1001,customers!$G$1:$G$1001,0)</f>
        <v>Ireland</v>
      </c>
      <c r="I569" t="str">
        <f>_xlfn.XLOOKUP(D569,products!$A$2:$A$49,products!$B$2:$B$49,0)</f>
        <v>Rob</v>
      </c>
      <c r="J569" t="str">
        <f>_xlfn.XLOOKUP(D569,products!$A$2:$A$49,products!$C$2:$C$49,0)</f>
        <v>L</v>
      </c>
      <c r="K569" s="4">
        <f>_xlfn.XLOOKUP(D569,products!$A$2:$A$49,products!$D$2:$D$49,0)</f>
        <v>2.5</v>
      </c>
      <c r="L569" s="5">
        <f>_xlfn.XLOOKUP(D569,products!$A$2:$A$49,products!$E$2:$E$49,0)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_xlfn.XLOOKUP(orders!C570,customers!$A$1:$A$1001,customers!$G$1:$G$1001,0)</f>
        <v>United States</v>
      </c>
      <c r="I570" t="str">
        <f>_xlfn.XLOOKUP(D570,products!$A$2:$A$49,products!$B$2:$B$49,0)</f>
        <v>Lib</v>
      </c>
      <c r="J570" t="str">
        <f>_xlfn.XLOOKUP(D570,products!$A$2:$A$49,products!$C$2:$C$49,0)</f>
        <v>L</v>
      </c>
      <c r="K570" s="4">
        <f>_xlfn.XLOOKUP(D570,products!$A$2:$A$49,products!$D$2:$D$49,0)</f>
        <v>0.2</v>
      </c>
      <c r="L570" s="5">
        <f>_xlfn.XLOOKUP(D570,products!$A$2:$A$49,products!$E$2:$E$49,0)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_xlfn.XLOOKUP(orders!C571,customers!$A$1:$A$1001,customers!$G$1:$G$1001,0)</f>
        <v>United Kingdom</v>
      </c>
      <c r="I571" t="str">
        <f>_xlfn.XLOOKUP(D571,products!$A$2:$A$49,products!$B$2:$B$49,0)</f>
        <v>Ara</v>
      </c>
      <c r="J571" t="str">
        <f>_xlfn.XLOOKUP(D571,products!$A$2:$A$49,products!$C$2:$C$49,0)</f>
        <v>D</v>
      </c>
      <c r="K571" s="4">
        <f>_xlfn.XLOOKUP(D571,products!$A$2:$A$49,products!$D$2:$D$49,0)</f>
        <v>2.5</v>
      </c>
      <c r="L571" s="5">
        <f>_xlfn.XLOOKUP(D571,products!$A$2:$A$49,products!$E$2:$E$49,0)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_xlfn.XLOOKUP(orders!C572,customers!$A$1:$A$1001,customers!$G$1:$G$1001,0)</f>
        <v>United States</v>
      </c>
      <c r="I572" t="str">
        <f>_xlfn.XLOOKUP(D572,products!$A$2:$A$49,products!$B$2:$B$49,0)</f>
        <v>Ara</v>
      </c>
      <c r="J572" t="str">
        <f>_xlfn.XLOOKUP(D572,products!$A$2:$A$49,products!$C$2:$C$49,0)</f>
        <v>M</v>
      </c>
      <c r="K572" s="4">
        <f>_xlfn.XLOOKUP(D572,products!$A$2:$A$49,products!$D$2:$D$49,0)</f>
        <v>0.5</v>
      </c>
      <c r="L572" s="5">
        <f>_xlfn.XLOOKUP(D572,products!$A$2:$A$49,products!$E$2:$E$49,0)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_xlfn.XLOOKUP(orders!C573,customers!$A$1:$A$1001,customers!$G$1:$G$1001,0)</f>
        <v>United Kingdom</v>
      </c>
      <c r="I573" t="str">
        <f>_xlfn.XLOOKUP(D573,products!$A$2:$A$49,products!$B$2:$B$49,0)</f>
        <v>Exc</v>
      </c>
      <c r="J573" t="str">
        <f>_xlfn.XLOOKUP(D573,products!$A$2:$A$49,products!$C$2:$C$49,0)</f>
        <v>L</v>
      </c>
      <c r="K573" s="4">
        <f>_xlfn.XLOOKUP(D573,products!$A$2:$A$49,products!$D$2:$D$49,0)</f>
        <v>0.5</v>
      </c>
      <c r="L573" s="5">
        <f>_xlfn.XLOOKUP(D573,products!$A$2:$A$49,products!$E$2:$E$49,0)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_xlfn.XLOOKUP(orders!C574,customers!$A$1:$A$1001,customers!$G$1:$G$1001,0)</f>
        <v>United States</v>
      </c>
      <c r="I574" t="str">
        <f>_xlfn.XLOOKUP(D574,products!$A$2:$A$49,products!$B$2:$B$49,0)</f>
        <v>Ara</v>
      </c>
      <c r="J574" t="str">
        <f>_xlfn.XLOOKUP(D574,products!$A$2:$A$49,products!$C$2:$C$49,0)</f>
        <v>D</v>
      </c>
      <c r="K574" s="4">
        <f>_xlfn.XLOOKUP(D574,products!$A$2:$A$49,products!$D$2:$D$49,0)</f>
        <v>0.2</v>
      </c>
      <c r="L574" s="5">
        <f>_xlfn.XLOOKUP(D574,products!$A$2:$A$49,products!$E$2:$E$49,0)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_xlfn.XLOOKUP(orders!C575,customers!$A$1:$A$1001,customers!$G$1:$G$1001,0)</f>
        <v>United States</v>
      </c>
      <c r="I575" t="str">
        <f>_xlfn.XLOOKUP(D575,products!$A$2:$A$49,products!$B$2:$B$49,0)</f>
        <v>Ara</v>
      </c>
      <c r="J575" t="str">
        <f>_xlfn.XLOOKUP(D575,products!$A$2:$A$49,products!$C$2:$C$49,0)</f>
        <v>M</v>
      </c>
      <c r="K575" s="4">
        <f>_xlfn.XLOOKUP(D575,products!$A$2:$A$49,products!$D$2:$D$49,0)</f>
        <v>1</v>
      </c>
      <c r="L575" s="5">
        <f>_xlfn.XLOOKUP(D575,products!$A$2:$A$49,products!$E$2:$E$49,0)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_xlfn.XLOOKUP(orders!C576,customers!$A$1:$A$1001,customers!$G$1:$G$1001,0)</f>
        <v>United States</v>
      </c>
      <c r="I576" t="str">
        <f>_xlfn.XLOOKUP(D576,products!$A$2:$A$49,products!$B$2:$B$49,0)</f>
        <v>Rob</v>
      </c>
      <c r="J576" t="str">
        <f>_xlfn.XLOOKUP(D576,products!$A$2:$A$49,products!$C$2:$C$49,0)</f>
        <v>L</v>
      </c>
      <c r="K576" s="4">
        <f>_xlfn.XLOOKUP(D576,products!$A$2:$A$49,products!$D$2:$D$49,0)</f>
        <v>0.2</v>
      </c>
      <c r="L576" s="5">
        <f>_xlfn.XLOOKUP(D576,products!$A$2:$A$49,products!$E$2:$E$49,0)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_xlfn.XLOOKUP(orders!C577,customers!$A$1:$A$1001,customers!$G$1:$G$1001,0)</f>
        <v>United States</v>
      </c>
      <c r="I577" t="str">
        <f>_xlfn.XLOOKUP(D577,products!$A$2:$A$49,products!$B$2:$B$49,0)</f>
        <v>Lib</v>
      </c>
      <c r="J577" t="str">
        <f>_xlfn.XLOOKUP(D577,products!$A$2:$A$49,products!$C$2:$C$49,0)</f>
        <v>M</v>
      </c>
      <c r="K577" s="4">
        <f>_xlfn.XLOOKUP(D577,products!$A$2:$A$49,products!$D$2:$D$49,0)</f>
        <v>2.5</v>
      </c>
      <c r="L577" s="5">
        <f>_xlfn.XLOOKUP(D577,products!$A$2:$A$49,products!$E$2:$E$49,0)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_xlfn.XLOOKUP(orders!C578,customers!$A$1:$A$1001,customers!$G$1:$G$1001,0)</f>
        <v>United States</v>
      </c>
      <c r="I578" t="str">
        <f>_xlfn.XLOOKUP(D578,products!$A$2:$A$49,products!$B$2:$B$49,0)</f>
        <v>Ara</v>
      </c>
      <c r="J578" t="str">
        <f>_xlfn.XLOOKUP(D578,products!$A$2:$A$49,products!$C$2:$C$49,0)</f>
        <v>D</v>
      </c>
      <c r="K578" s="4">
        <f>_xlfn.XLOOKUP(D578,products!$A$2:$A$49,products!$D$2:$D$49,0)</f>
        <v>0.2</v>
      </c>
      <c r="L578" s="5">
        <f>_xlfn.XLOOKUP(D578,products!$A$2:$A$49,products!$E$2:$E$49,0)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_xlfn.XLOOKUP(orders!C579,customers!$A$1:$A$1001,customers!$G$1:$G$1001,0)</f>
        <v>United Kingdom</v>
      </c>
      <c r="I579" t="str">
        <f>_xlfn.XLOOKUP(D579,products!$A$2:$A$49,products!$B$2:$B$49,0)</f>
        <v>Lib</v>
      </c>
      <c r="J579" t="str">
        <f>_xlfn.XLOOKUP(D579,products!$A$2:$A$49,products!$C$2:$C$49,0)</f>
        <v>M</v>
      </c>
      <c r="K579" s="4">
        <f>_xlfn.XLOOKUP(D579,products!$A$2:$A$49,products!$D$2:$D$49,0)</f>
        <v>1</v>
      </c>
      <c r="L579" s="5">
        <f>_xlfn.XLOOKUP(D579,products!$A$2:$A$49,products!$E$2:$E$49,0)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_xlfn.XLOOKUP(orders!C580,customers!$A$1:$A$1001,customers!$G$1:$G$1001,0)</f>
        <v>Ireland</v>
      </c>
      <c r="I580" t="str">
        <f>_xlfn.XLOOKUP(D580,products!$A$2:$A$49,products!$B$2:$B$49,0)</f>
        <v>Exc</v>
      </c>
      <c r="J580" t="str">
        <f>_xlfn.XLOOKUP(D580,products!$A$2:$A$49,products!$C$2:$C$49,0)</f>
        <v>L</v>
      </c>
      <c r="K580" s="4">
        <f>_xlfn.XLOOKUP(D580,products!$A$2:$A$49,products!$D$2:$D$49,0)</f>
        <v>0.2</v>
      </c>
      <c r="L580" s="5">
        <f>_xlfn.XLOOKUP(D580,products!$A$2:$A$49,products!$E$2:$E$49,0)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_xlfn.XLOOKUP(orders!C581,customers!$A$1:$A$1001,customers!$G$1:$G$1001,0)</f>
        <v>Ireland</v>
      </c>
      <c r="I581" t="str">
        <f>_xlfn.XLOOKUP(D581,products!$A$2:$A$49,products!$B$2:$B$49,0)</f>
        <v>Ara</v>
      </c>
      <c r="J581" t="str">
        <f>_xlfn.XLOOKUP(D581,products!$A$2:$A$49,products!$C$2:$C$49,0)</f>
        <v>M</v>
      </c>
      <c r="K581" s="4">
        <f>_xlfn.XLOOKUP(D581,products!$A$2:$A$49,products!$D$2:$D$49,0)</f>
        <v>0.5</v>
      </c>
      <c r="L581" s="5">
        <f>_xlfn.XLOOKUP(D581,products!$A$2:$A$49,products!$E$2:$E$49,0)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_xlfn.XLOOKUP(orders!C582,customers!$A$1:$A$1001,customers!$G$1:$G$1001,0)</f>
        <v>United States</v>
      </c>
      <c r="I582" t="str">
        <f>_xlfn.XLOOKUP(D582,products!$A$2:$A$49,products!$B$2:$B$49,0)</f>
        <v>Exc</v>
      </c>
      <c r="J582" t="str">
        <f>_xlfn.XLOOKUP(D582,products!$A$2:$A$49,products!$C$2:$C$49,0)</f>
        <v>L</v>
      </c>
      <c r="K582" s="4">
        <f>_xlfn.XLOOKUP(D582,products!$A$2:$A$49,products!$D$2:$D$49,0)</f>
        <v>1</v>
      </c>
      <c r="L582" s="5">
        <f>_xlfn.XLOOKUP(D582,products!$A$2:$A$49,products!$E$2:$E$49,0)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_xlfn.XLOOKUP(orders!C583,customers!$A$1:$A$1001,customers!$G$1:$G$1001,0)</f>
        <v>United Kingdom</v>
      </c>
      <c r="I583" t="str">
        <f>_xlfn.XLOOKUP(D583,products!$A$2:$A$49,products!$B$2:$B$49,0)</f>
        <v>Exc</v>
      </c>
      <c r="J583" t="str">
        <f>_xlfn.XLOOKUP(D583,products!$A$2:$A$49,products!$C$2:$C$49,0)</f>
        <v>L</v>
      </c>
      <c r="K583" s="4">
        <f>_xlfn.XLOOKUP(D583,products!$A$2:$A$49,products!$D$2:$D$49,0)</f>
        <v>0.5</v>
      </c>
      <c r="L583" s="5">
        <f>_xlfn.XLOOKUP(D583,products!$A$2:$A$49,products!$E$2:$E$49,0)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_xlfn.XLOOKUP(orders!C584,customers!$A$1:$A$1001,customers!$G$1:$G$1001,0)</f>
        <v>United States</v>
      </c>
      <c r="I584" t="str">
        <f>_xlfn.XLOOKUP(D584,products!$A$2:$A$49,products!$B$2:$B$49,0)</f>
        <v>Exc</v>
      </c>
      <c r="J584" t="str">
        <f>_xlfn.XLOOKUP(D584,products!$A$2:$A$49,products!$C$2:$C$49,0)</f>
        <v>D</v>
      </c>
      <c r="K584" s="4">
        <f>_xlfn.XLOOKUP(D584,products!$A$2:$A$49,products!$D$2:$D$49,0)</f>
        <v>1</v>
      </c>
      <c r="L584" s="5">
        <f>_xlfn.XLOOKUP(D584,products!$A$2:$A$49,products!$E$2:$E$49,0)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_xlfn.XLOOKUP(orders!C585,customers!$A$1:$A$1001,customers!$G$1:$G$1001,0)</f>
        <v>United States</v>
      </c>
      <c r="I585" t="str">
        <f>_xlfn.XLOOKUP(D585,products!$A$2:$A$49,products!$B$2:$B$49,0)</f>
        <v>Rob</v>
      </c>
      <c r="J585" t="str">
        <f>_xlfn.XLOOKUP(D585,products!$A$2:$A$49,products!$C$2:$C$49,0)</f>
        <v>L</v>
      </c>
      <c r="K585" s="4">
        <f>_xlfn.XLOOKUP(D585,products!$A$2:$A$49,products!$D$2:$D$49,0)</f>
        <v>0.2</v>
      </c>
      <c r="L585" s="5">
        <f>_xlfn.XLOOKUP(D585,products!$A$2:$A$49,products!$E$2:$E$49,0)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_xlfn.XLOOKUP(orders!C586,customers!$A$1:$A$1001,customers!$G$1:$G$1001,0)</f>
        <v>United States</v>
      </c>
      <c r="I586" t="str">
        <f>_xlfn.XLOOKUP(D586,products!$A$2:$A$49,products!$B$2:$B$49,0)</f>
        <v>Rob</v>
      </c>
      <c r="J586" t="str">
        <f>_xlfn.XLOOKUP(D586,products!$A$2:$A$49,products!$C$2:$C$49,0)</f>
        <v>L</v>
      </c>
      <c r="K586" s="4">
        <f>_xlfn.XLOOKUP(D586,products!$A$2:$A$49,products!$D$2:$D$49,0)</f>
        <v>0.2</v>
      </c>
      <c r="L586" s="5">
        <f>_xlfn.XLOOKUP(D586,products!$A$2:$A$49,products!$E$2:$E$49,0)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_xlfn.XLOOKUP(orders!C587,customers!$A$1:$A$1001,customers!$G$1:$G$1001,0)</f>
        <v>United Kingdom</v>
      </c>
      <c r="I587" t="str">
        <f>_xlfn.XLOOKUP(D587,products!$A$2:$A$49,products!$B$2:$B$49,0)</f>
        <v>Exc</v>
      </c>
      <c r="J587" t="str">
        <f>_xlfn.XLOOKUP(D587,products!$A$2:$A$49,products!$C$2:$C$49,0)</f>
        <v>M</v>
      </c>
      <c r="K587" s="4">
        <f>_xlfn.XLOOKUP(D587,products!$A$2:$A$49,products!$D$2:$D$49,0)</f>
        <v>0.5</v>
      </c>
      <c r="L587" s="5">
        <f>_xlfn.XLOOKUP(D587,products!$A$2:$A$49,products!$E$2:$E$49,0)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_xlfn.XLOOKUP(orders!C588,customers!$A$1:$A$1001,customers!$G$1:$G$1001,0)</f>
        <v>United States</v>
      </c>
      <c r="I588" t="str">
        <f>_xlfn.XLOOKUP(D588,products!$A$2:$A$49,products!$B$2:$B$49,0)</f>
        <v>Rob</v>
      </c>
      <c r="J588" t="str">
        <f>_xlfn.XLOOKUP(D588,products!$A$2:$A$49,products!$C$2:$C$49,0)</f>
        <v>L</v>
      </c>
      <c r="K588" s="4">
        <f>_xlfn.XLOOKUP(D588,products!$A$2:$A$49,products!$D$2:$D$49,0)</f>
        <v>2.5</v>
      </c>
      <c r="L588" s="5">
        <f>_xlfn.XLOOKUP(D588,products!$A$2:$A$49,products!$E$2:$E$49,0)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_xlfn.XLOOKUP(orders!C589,customers!$A$1:$A$1001,customers!$G$1:$G$1001,0)</f>
        <v>United States</v>
      </c>
      <c r="I589" t="str">
        <f>_xlfn.XLOOKUP(D589,products!$A$2:$A$49,products!$B$2:$B$49,0)</f>
        <v>Lib</v>
      </c>
      <c r="J589" t="str">
        <f>_xlfn.XLOOKUP(D589,products!$A$2:$A$49,products!$C$2:$C$49,0)</f>
        <v>D</v>
      </c>
      <c r="K589" s="4">
        <f>_xlfn.XLOOKUP(D589,products!$A$2:$A$49,products!$D$2:$D$49,0)</f>
        <v>0.5</v>
      </c>
      <c r="L589" s="5">
        <f>_xlfn.XLOOKUP(D589,products!$A$2:$A$49,products!$E$2:$E$49,0)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_xlfn.XLOOKUP(orders!C590,customers!$A$1:$A$1001,customers!$G$1:$G$1001,0)</f>
        <v>United States</v>
      </c>
      <c r="I590" t="str">
        <f>_xlfn.XLOOKUP(D590,products!$A$2:$A$49,products!$B$2:$B$49,0)</f>
        <v>Rob</v>
      </c>
      <c r="J590" t="str">
        <f>_xlfn.XLOOKUP(D590,products!$A$2:$A$49,products!$C$2:$C$49,0)</f>
        <v>M</v>
      </c>
      <c r="K590" s="4">
        <f>_xlfn.XLOOKUP(D590,products!$A$2:$A$49,products!$D$2:$D$49,0)</f>
        <v>0.5</v>
      </c>
      <c r="L590" s="5">
        <f>_xlfn.XLOOKUP(D590,products!$A$2:$A$49,products!$E$2:$E$49,0)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_xlfn.XLOOKUP(orders!C591,customers!$A$1:$A$1001,customers!$G$1:$G$1001,0)</f>
        <v>United States</v>
      </c>
      <c r="I591" t="str">
        <f>_xlfn.XLOOKUP(D591,products!$A$2:$A$49,products!$B$2:$B$49,0)</f>
        <v>Exc</v>
      </c>
      <c r="J591" t="str">
        <f>_xlfn.XLOOKUP(D591,products!$A$2:$A$49,products!$C$2:$C$49,0)</f>
        <v>L</v>
      </c>
      <c r="K591" s="4">
        <f>_xlfn.XLOOKUP(D591,products!$A$2:$A$49,products!$D$2:$D$49,0)</f>
        <v>2.5</v>
      </c>
      <c r="L591" s="5">
        <f>_xlfn.XLOOKUP(D591,products!$A$2:$A$49,products!$E$2:$E$49,0)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_xlfn.XLOOKUP(orders!C592,customers!$A$1:$A$1001,customers!$G$1:$G$1001,0)</f>
        <v>United States</v>
      </c>
      <c r="I592" t="str">
        <f>_xlfn.XLOOKUP(D592,products!$A$2:$A$49,products!$B$2:$B$49,0)</f>
        <v>Exc</v>
      </c>
      <c r="J592" t="str">
        <f>_xlfn.XLOOKUP(D592,products!$A$2:$A$49,products!$C$2:$C$49,0)</f>
        <v>M</v>
      </c>
      <c r="K592" s="4">
        <f>_xlfn.XLOOKUP(D592,products!$A$2:$A$49,products!$D$2:$D$49,0)</f>
        <v>2.5</v>
      </c>
      <c r="L592" s="5">
        <f>_xlfn.XLOOKUP(D592,products!$A$2:$A$49,products!$E$2:$E$49,0)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_xlfn.XLOOKUP(orders!C593,customers!$A$1:$A$1001,customers!$G$1:$G$1001,0)</f>
        <v>United States</v>
      </c>
      <c r="I593" t="str">
        <f>_xlfn.XLOOKUP(D593,products!$A$2:$A$49,products!$B$2:$B$49,0)</f>
        <v>Rob</v>
      </c>
      <c r="J593" t="str">
        <f>_xlfn.XLOOKUP(D593,products!$A$2:$A$49,products!$C$2:$C$49,0)</f>
        <v>D</v>
      </c>
      <c r="K593" s="4">
        <f>_xlfn.XLOOKUP(D593,products!$A$2:$A$49,products!$D$2:$D$49,0)</f>
        <v>0.2</v>
      </c>
      <c r="L593" s="5">
        <f>_xlfn.XLOOKUP(D593,products!$A$2:$A$49,products!$E$2:$E$49,0)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_xlfn.XLOOKUP(orders!C594,customers!$A$1:$A$1001,customers!$G$1:$G$1001,0)</f>
        <v>United States</v>
      </c>
      <c r="I594" t="str">
        <f>_xlfn.XLOOKUP(D594,products!$A$2:$A$49,products!$B$2:$B$49,0)</f>
        <v>Ara</v>
      </c>
      <c r="J594" t="str">
        <f>_xlfn.XLOOKUP(D594,products!$A$2:$A$49,products!$C$2:$C$49,0)</f>
        <v>M</v>
      </c>
      <c r="K594" s="4">
        <f>_xlfn.XLOOKUP(D594,products!$A$2:$A$49,products!$D$2:$D$49,0)</f>
        <v>2.5</v>
      </c>
      <c r="L594" s="5">
        <f>_xlfn.XLOOKUP(D594,products!$A$2:$A$49,products!$E$2:$E$49,0)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_xlfn.XLOOKUP(orders!C595,customers!$A$1:$A$1001,customers!$G$1:$G$1001,0)</f>
        <v>United Kingdom</v>
      </c>
      <c r="I595" t="str">
        <f>_xlfn.XLOOKUP(D595,products!$A$2:$A$49,products!$B$2:$B$49,0)</f>
        <v>Exc</v>
      </c>
      <c r="J595" t="str">
        <f>_xlfn.XLOOKUP(D595,products!$A$2:$A$49,products!$C$2:$C$49,0)</f>
        <v>D</v>
      </c>
      <c r="K595" s="4">
        <f>_xlfn.XLOOKUP(D595,products!$A$2:$A$49,products!$D$2:$D$49,0)</f>
        <v>2.5</v>
      </c>
      <c r="L595" s="5">
        <f>_xlfn.XLOOKUP(D595,products!$A$2:$A$49,products!$E$2:$E$49,0)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_xlfn.XLOOKUP(orders!C596,customers!$A$1:$A$1001,customers!$G$1:$G$1001,0)</f>
        <v>United States</v>
      </c>
      <c r="I596" t="str">
        <f>_xlfn.XLOOKUP(D596,products!$A$2:$A$49,products!$B$2:$B$49,0)</f>
        <v>Ara</v>
      </c>
      <c r="J596" t="str">
        <f>_xlfn.XLOOKUP(D596,products!$A$2:$A$49,products!$C$2:$C$49,0)</f>
        <v>L</v>
      </c>
      <c r="K596" s="4">
        <f>_xlfn.XLOOKUP(D596,products!$A$2:$A$49,products!$D$2:$D$49,0)</f>
        <v>2.5</v>
      </c>
      <c r="L596" s="5">
        <f>_xlfn.XLOOKUP(D596,products!$A$2:$A$49,products!$E$2:$E$49,0)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_xlfn.XLOOKUP(orders!C597,customers!$A$1:$A$1001,customers!$G$1:$G$1001,0)</f>
        <v>United Kingdom</v>
      </c>
      <c r="I597" t="str">
        <f>_xlfn.XLOOKUP(D597,products!$A$2:$A$49,products!$B$2:$B$49,0)</f>
        <v>Exc</v>
      </c>
      <c r="J597" t="str">
        <f>_xlfn.XLOOKUP(D597,products!$A$2:$A$49,products!$C$2:$C$49,0)</f>
        <v>L</v>
      </c>
      <c r="K597" s="4">
        <f>_xlfn.XLOOKUP(D597,products!$A$2:$A$49,products!$D$2:$D$49,0)</f>
        <v>1</v>
      </c>
      <c r="L597" s="5">
        <f>_xlfn.XLOOKUP(D597,products!$A$2:$A$49,products!$E$2:$E$49,0)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_xlfn.XLOOKUP(orders!C598,customers!$A$1:$A$1001,customers!$G$1:$G$1001,0)</f>
        <v>United States</v>
      </c>
      <c r="I598" t="str">
        <f>_xlfn.XLOOKUP(D598,products!$A$2:$A$49,products!$B$2:$B$49,0)</f>
        <v>Ara</v>
      </c>
      <c r="J598" t="str">
        <f>_xlfn.XLOOKUP(D598,products!$A$2:$A$49,products!$C$2:$C$49,0)</f>
        <v>M</v>
      </c>
      <c r="K598" s="4">
        <f>_xlfn.XLOOKUP(D598,products!$A$2:$A$49,products!$D$2:$D$49,0)</f>
        <v>0.5</v>
      </c>
      <c r="L598" s="5">
        <f>_xlfn.XLOOKUP(D598,products!$A$2:$A$49,products!$E$2:$E$49,0)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_xlfn.XLOOKUP(orders!C599,customers!$A$1:$A$1001,customers!$G$1:$G$1001,0)</f>
        <v>United States</v>
      </c>
      <c r="I599" t="str">
        <f>_xlfn.XLOOKUP(D599,products!$A$2:$A$49,products!$B$2:$B$49,0)</f>
        <v>Lib</v>
      </c>
      <c r="J599" t="str">
        <f>_xlfn.XLOOKUP(D599,products!$A$2:$A$49,products!$C$2:$C$49,0)</f>
        <v>L</v>
      </c>
      <c r="K599" s="4">
        <f>_xlfn.XLOOKUP(D599,products!$A$2:$A$49,products!$D$2:$D$49,0)</f>
        <v>2.5</v>
      </c>
      <c r="L599" s="5">
        <f>_xlfn.XLOOKUP(D599,products!$A$2:$A$49,products!$E$2:$E$49,0)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_xlfn.XLOOKUP(orders!C600,customers!$A$1:$A$1001,customers!$G$1:$G$1001,0)</f>
        <v>United States</v>
      </c>
      <c r="I600" t="str">
        <f>_xlfn.XLOOKUP(D600,products!$A$2:$A$49,products!$B$2:$B$49,0)</f>
        <v>Rob</v>
      </c>
      <c r="J600" t="str">
        <f>_xlfn.XLOOKUP(D600,products!$A$2:$A$49,products!$C$2:$C$49,0)</f>
        <v>M</v>
      </c>
      <c r="K600" s="4">
        <f>_xlfn.XLOOKUP(D600,products!$A$2:$A$49,products!$D$2:$D$49,0)</f>
        <v>0.2</v>
      </c>
      <c r="L600" s="5">
        <f>_xlfn.XLOOKUP(D600,products!$A$2:$A$49,products!$E$2:$E$49,0)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_xlfn.XLOOKUP(orders!C601,customers!$A$1:$A$1001,customers!$G$1:$G$1001,0)</f>
        <v>United States</v>
      </c>
      <c r="I601" t="str">
        <f>_xlfn.XLOOKUP(D601,products!$A$2:$A$49,products!$B$2:$B$49,0)</f>
        <v>Ara</v>
      </c>
      <c r="J601" t="str">
        <f>_xlfn.XLOOKUP(D601,products!$A$2:$A$49,products!$C$2:$C$49,0)</f>
        <v>D</v>
      </c>
      <c r="K601" s="4">
        <f>_xlfn.XLOOKUP(D601,products!$A$2:$A$49,products!$D$2:$D$49,0)</f>
        <v>0.2</v>
      </c>
      <c r="L601" s="5">
        <f>_xlfn.XLOOKUP(D601,products!$A$2:$A$49,products!$E$2:$E$49,0)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_xlfn.XLOOKUP(orders!C602,customers!$A$1:$A$1001,customers!$G$1:$G$1001,0)</f>
        <v>United States</v>
      </c>
      <c r="I602" t="str">
        <f>_xlfn.XLOOKUP(D602,products!$A$2:$A$49,products!$B$2:$B$49,0)</f>
        <v>Lib</v>
      </c>
      <c r="J602" t="str">
        <f>_xlfn.XLOOKUP(D602,products!$A$2:$A$49,products!$C$2:$C$49,0)</f>
        <v>D</v>
      </c>
      <c r="K602" s="4">
        <f>_xlfn.XLOOKUP(D602,products!$A$2:$A$49,products!$D$2:$D$49,0)</f>
        <v>0.5</v>
      </c>
      <c r="L602" s="5">
        <f>_xlfn.XLOOKUP(D602,products!$A$2:$A$49,products!$E$2:$E$49,0)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_xlfn.XLOOKUP(orders!C603,customers!$A$1:$A$1001,customers!$G$1:$G$1001,0)</f>
        <v>United States</v>
      </c>
      <c r="I603" t="str">
        <f>_xlfn.XLOOKUP(D603,products!$A$2:$A$49,products!$B$2:$B$49,0)</f>
        <v>Rob</v>
      </c>
      <c r="J603" t="str">
        <f>_xlfn.XLOOKUP(D603,products!$A$2:$A$49,products!$C$2:$C$49,0)</f>
        <v>L</v>
      </c>
      <c r="K603" s="4">
        <f>_xlfn.XLOOKUP(D603,products!$A$2:$A$49,products!$D$2:$D$49,0)</f>
        <v>2.5</v>
      </c>
      <c r="L603" s="5">
        <f>_xlfn.XLOOKUP(D603,products!$A$2:$A$49,products!$E$2:$E$49,0)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_xlfn.XLOOKUP(orders!C604,customers!$A$1:$A$1001,customers!$G$1:$G$1001,0)</f>
        <v>United States</v>
      </c>
      <c r="I604" t="str">
        <f>_xlfn.XLOOKUP(D604,products!$A$2:$A$49,products!$B$2:$B$49,0)</f>
        <v>Exc</v>
      </c>
      <c r="J604" t="str">
        <f>_xlfn.XLOOKUP(D604,products!$A$2:$A$49,products!$C$2:$C$49,0)</f>
        <v>L</v>
      </c>
      <c r="K604" s="4">
        <f>_xlfn.XLOOKUP(D604,products!$A$2:$A$49,products!$D$2:$D$49,0)</f>
        <v>0.2</v>
      </c>
      <c r="L604" s="5">
        <f>_xlfn.XLOOKUP(D604,products!$A$2:$A$49,products!$E$2:$E$49,0)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_xlfn.XLOOKUP(orders!C605,customers!$A$1:$A$1001,customers!$G$1:$G$1001,0)</f>
        <v>United States</v>
      </c>
      <c r="I605" t="str">
        <f>_xlfn.XLOOKUP(D605,products!$A$2:$A$49,products!$B$2:$B$49,0)</f>
        <v>Rob</v>
      </c>
      <c r="J605" t="str">
        <f>_xlfn.XLOOKUP(D605,products!$A$2:$A$49,products!$C$2:$C$49,0)</f>
        <v>M</v>
      </c>
      <c r="K605" s="4">
        <f>_xlfn.XLOOKUP(D605,products!$A$2:$A$49,products!$D$2:$D$49,0)</f>
        <v>0.2</v>
      </c>
      <c r="L605" s="5">
        <f>_xlfn.XLOOKUP(D605,products!$A$2:$A$49,products!$E$2:$E$49,0)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_xlfn.XLOOKUP(orders!C606,customers!$A$1:$A$1001,customers!$G$1:$G$1001,0)</f>
        <v>Ireland</v>
      </c>
      <c r="I606" t="str">
        <f>_xlfn.XLOOKUP(D606,products!$A$2:$A$49,products!$B$2:$B$49,0)</f>
        <v>Lib</v>
      </c>
      <c r="J606" t="str">
        <f>_xlfn.XLOOKUP(D606,products!$A$2:$A$49,products!$C$2:$C$49,0)</f>
        <v>D</v>
      </c>
      <c r="K606" s="4">
        <f>_xlfn.XLOOKUP(D606,products!$A$2:$A$49,products!$D$2:$D$49,0)</f>
        <v>2.5</v>
      </c>
      <c r="L606" s="5">
        <f>_xlfn.XLOOKUP(D606,products!$A$2:$A$49,products!$E$2:$E$49,0)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_xlfn.XLOOKUP(orders!C607,customers!$A$1:$A$1001,customers!$G$1:$G$1001,0)</f>
        <v>United States</v>
      </c>
      <c r="I607" t="str">
        <f>_xlfn.XLOOKUP(D607,products!$A$2:$A$49,products!$B$2:$B$49,0)</f>
        <v>Ara</v>
      </c>
      <c r="J607" t="str">
        <f>_xlfn.XLOOKUP(D607,products!$A$2:$A$49,products!$C$2:$C$49,0)</f>
        <v>L</v>
      </c>
      <c r="K607" s="4">
        <f>_xlfn.XLOOKUP(D607,products!$A$2:$A$49,products!$D$2:$D$49,0)</f>
        <v>2.5</v>
      </c>
      <c r="L607" s="5">
        <f>_xlfn.XLOOKUP(D607,products!$A$2:$A$49,products!$E$2:$E$49,0)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_xlfn.XLOOKUP(orders!C608,customers!$A$1:$A$1001,customers!$G$1:$G$1001,0)</f>
        <v>United Kingdom</v>
      </c>
      <c r="I608" t="str">
        <f>_xlfn.XLOOKUP(D608,products!$A$2:$A$49,products!$B$2:$B$49,0)</f>
        <v>Lib</v>
      </c>
      <c r="J608" t="str">
        <f>_xlfn.XLOOKUP(D608,products!$A$2:$A$49,products!$C$2:$C$49,0)</f>
        <v>L</v>
      </c>
      <c r="K608" s="4">
        <f>_xlfn.XLOOKUP(D608,products!$A$2:$A$49,products!$D$2:$D$49,0)</f>
        <v>2.5</v>
      </c>
      <c r="L608" s="5">
        <f>_xlfn.XLOOKUP(D608,products!$A$2:$A$49,products!$E$2:$E$49,0)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_xlfn.XLOOKUP(orders!C609,customers!$A$1:$A$1001,customers!$G$1:$G$1001,0)</f>
        <v>United States</v>
      </c>
      <c r="I609" t="str">
        <f>_xlfn.XLOOKUP(D609,products!$A$2:$A$49,products!$B$2:$B$49,0)</f>
        <v>Exc</v>
      </c>
      <c r="J609" t="str">
        <f>_xlfn.XLOOKUP(D609,products!$A$2:$A$49,products!$C$2:$C$49,0)</f>
        <v>D</v>
      </c>
      <c r="K609" s="4">
        <f>_xlfn.XLOOKUP(D609,products!$A$2:$A$49,products!$D$2:$D$49,0)</f>
        <v>0.2</v>
      </c>
      <c r="L609" s="5">
        <f>_xlfn.XLOOKUP(D609,products!$A$2:$A$49,products!$E$2:$E$49,0)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_xlfn.XLOOKUP(orders!C610,customers!$A$1:$A$1001,customers!$G$1:$G$1001,0)</f>
        <v>United States</v>
      </c>
      <c r="I610" t="str">
        <f>_xlfn.XLOOKUP(D610,products!$A$2:$A$49,products!$B$2:$B$49,0)</f>
        <v>Exc</v>
      </c>
      <c r="J610" t="str">
        <f>_xlfn.XLOOKUP(D610,products!$A$2:$A$49,products!$C$2:$C$49,0)</f>
        <v>D</v>
      </c>
      <c r="K610" s="4">
        <f>_xlfn.XLOOKUP(D610,products!$A$2:$A$49,products!$D$2:$D$49,0)</f>
        <v>2.5</v>
      </c>
      <c r="L610" s="5">
        <f>_xlfn.XLOOKUP(D610,products!$A$2:$A$49,products!$E$2:$E$49,0)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_xlfn.XLOOKUP(orders!C611,customers!$A$1:$A$1001,customers!$G$1:$G$1001,0)</f>
        <v>United States</v>
      </c>
      <c r="I611" t="str">
        <f>_xlfn.XLOOKUP(D611,products!$A$2:$A$49,products!$B$2:$B$49,0)</f>
        <v>Lib</v>
      </c>
      <c r="J611" t="str">
        <f>_xlfn.XLOOKUP(D611,products!$A$2:$A$49,products!$C$2:$C$49,0)</f>
        <v>M</v>
      </c>
      <c r="K611" s="4">
        <f>_xlfn.XLOOKUP(D611,products!$A$2:$A$49,products!$D$2:$D$49,0)</f>
        <v>0.2</v>
      </c>
      <c r="L611" s="5">
        <f>_xlfn.XLOOKUP(D611,products!$A$2:$A$49,products!$E$2:$E$49,0)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_xlfn.XLOOKUP(orders!C612,customers!$A$1:$A$1001,customers!$G$1:$G$1001,0)</f>
        <v>United States</v>
      </c>
      <c r="I612" t="str">
        <f>_xlfn.XLOOKUP(D612,products!$A$2:$A$49,products!$B$2:$B$49,0)</f>
        <v>Rob</v>
      </c>
      <c r="J612" t="str">
        <f>_xlfn.XLOOKUP(D612,products!$A$2:$A$49,products!$C$2:$C$49,0)</f>
        <v>M</v>
      </c>
      <c r="K612" s="4">
        <f>_xlfn.XLOOKUP(D612,products!$A$2:$A$49,products!$D$2:$D$49,0)</f>
        <v>1</v>
      </c>
      <c r="L612" s="5">
        <f>_xlfn.XLOOKUP(D612,products!$A$2:$A$49,products!$E$2:$E$49,0)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_xlfn.XLOOKUP(orders!C613,customers!$A$1:$A$1001,customers!$G$1:$G$1001,0)</f>
        <v>United States</v>
      </c>
      <c r="I613" t="str">
        <f>_xlfn.XLOOKUP(D613,products!$A$2:$A$49,products!$B$2:$B$49,0)</f>
        <v>Exc</v>
      </c>
      <c r="J613" t="str">
        <f>_xlfn.XLOOKUP(D613,products!$A$2:$A$49,products!$C$2:$C$49,0)</f>
        <v>L</v>
      </c>
      <c r="K613" s="4">
        <f>_xlfn.XLOOKUP(D613,products!$A$2:$A$49,products!$D$2:$D$49,0)</f>
        <v>2.5</v>
      </c>
      <c r="L613" s="5">
        <f>_xlfn.XLOOKUP(D613,products!$A$2:$A$49,products!$E$2:$E$49,0)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_xlfn.XLOOKUP(orders!C614,customers!$A$1:$A$1001,customers!$G$1:$G$1001,0)</f>
        <v>Ireland</v>
      </c>
      <c r="I614" t="str">
        <f>_xlfn.XLOOKUP(D614,products!$A$2:$A$49,products!$B$2:$B$49,0)</f>
        <v>Ara</v>
      </c>
      <c r="J614" t="str">
        <f>_xlfn.XLOOKUP(D614,products!$A$2:$A$49,products!$C$2:$C$49,0)</f>
        <v>M</v>
      </c>
      <c r="K614" s="4">
        <f>_xlfn.XLOOKUP(D614,products!$A$2:$A$49,products!$D$2:$D$49,0)</f>
        <v>0.2</v>
      </c>
      <c r="L614" s="5">
        <f>_xlfn.XLOOKUP(D614,products!$A$2:$A$49,products!$E$2:$E$49,0)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_xlfn.XLOOKUP(orders!C615,customers!$A$1:$A$1001,customers!$G$1:$G$1001,0)</f>
        <v>United States</v>
      </c>
      <c r="I615" t="str">
        <f>_xlfn.XLOOKUP(D615,products!$A$2:$A$49,products!$B$2:$B$49,0)</f>
        <v>Rob</v>
      </c>
      <c r="J615" t="str">
        <f>_xlfn.XLOOKUP(D615,products!$A$2:$A$49,products!$C$2:$C$49,0)</f>
        <v>M</v>
      </c>
      <c r="K615" s="4">
        <f>_xlfn.XLOOKUP(D615,products!$A$2:$A$49,products!$D$2:$D$49,0)</f>
        <v>0.5</v>
      </c>
      <c r="L615" s="5">
        <f>_xlfn.XLOOKUP(D615,products!$A$2:$A$49,products!$E$2:$E$49,0)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_xlfn.XLOOKUP(orders!C616,customers!$A$1:$A$1001,customers!$G$1:$G$1001,0)</f>
        <v>United Kingdom</v>
      </c>
      <c r="I616" t="str">
        <f>_xlfn.XLOOKUP(D616,products!$A$2:$A$49,products!$B$2:$B$49,0)</f>
        <v>Rob</v>
      </c>
      <c r="J616" t="str">
        <f>_xlfn.XLOOKUP(D616,products!$A$2:$A$49,products!$C$2:$C$49,0)</f>
        <v>M</v>
      </c>
      <c r="K616" s="4">
        <f>_xlfn.XLOOKUP(D616,products!$A$2:$A$49,products!$D$2:$D$49,0)</f>
        <v>0.5</v>
      </c>
      <c r="L616" s="5">
        <f>_xlfn.XLOOKUP(D616,products!$A$2:$A$49,products!$E$2:$E$49,0)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_xlfn.XLOOKUP(orders!C617,customers!$A$1:$A$1001,customers!$G$1:$G$1001,0)</f>
        <v>United States</v>
      </c>
      <c r="I617" t="str">
        <f>_xlfn.XLOOKUP(D617,products!$A$2:$A$49,products!$B$2:$B$49,0)</f>
        <v>Lib</v>
      </c>
      <c r="J617" t="str">
        <f>_xlfn.XLOOKUP(D617,products!$A$2:$A$49,products!$C$2:$C$49,0)</f>
        <v>L</v>
      </c>
      <c r="K617" s="4">
        <f>_xlfn.XLOOKUP(D617,products!$A$2:$A$49,products!$D$2:$D$49,0)</f>
        <v>2.5</v>
      </c>
      <c r="L617" s="5">
        <f>_xlfn.XLOOKUP(D617,products!$A$2:$A$49,products!$E$2:$E$49,0)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_xlfn.XLOOKUP(orders!C618,customers!$A$1:$A$1001,customers!$G$1:$G$1001,0)</f>
        <v>United Kingdom</v>
      </c>
      <c r="I618" t="str">
        <f>_xlfn.XLOOKUP(D618,products!$A$2:$A$49,products!$B$2:$B$49,0)</f>
        <v>Exc</v>
      </c>
      <c r="J618" t="str">
        <f>_xlfn.XLOOKUP(D618,products!$A$2:$A$49,products!$C$2:$C$49,0)</f>
        <v>M</v>
      </c>
      <c r="K618" s="4">
        <f>_xlfn.XLOOKUP(D618,products!$A$2:$A$49,products!$D$2:$D$49,0)</f>
        <v>2.5</v>
      </c>
      <c r="L618" s="5">
        <f>_xlfn.XLOOKUP(D618,products!$A$2:$A$49,products!$E$2:$E$49,0)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_xlfn.XLOOKUP(orders!C619,customers!$A$1:$A$1001,customers!$G$1:$G$1001,0)</f>
        <v>United States</v>
      </c>
      <c r="I619" t="str">
        <f>_xlfn.XLOOKUP(D619,products!$A$2:$A$49,products!$B$2:$B$49,0)</f>
        <v>Lib</v>
      </c>
      <c r="J619" t="str">
        <f>_xlfn.XLOOKUP(D619,products!$A$2:$A$49,products!$C$2:$C$49,0)</f>
        <v>M</v>
      </c>
      <c r="K619" s="4">
        <f>_xlfn.XLOOKUP(D619,products!$A$2:$A$49,products!$D$2:$D$49,0)</f>
        <v>2.5</v>
      </c>
      <c r="L619" s="5">
        <f>_xlfn.XLOOKUP(D619,products!$A$2:$A$49,products!$E$2:$E$49,0)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_xlfn.XLOOKUP(orders!C620,customers!$A$1:$A$1001,customers!$G$1:$G$1001,0)</f>
        <v>United States</v>
      </c>
      <c r="I620" t="str">
        <f>_xlfn.XLOOKUP(D620,products!$A$2:$A$49,products!$B$2:$B$49,0)</f>
        <v>Exc</v>
      </c>
      <c r="J620" t="str">
        <f>_xlfn.XLOOKUP(D620,products!$A$2:$A$49,products!$C$2:$C$49,0)</f>
        <v>D</v>
      </c>
      <c r="K620" s="4">
        <f>_xlfn.XLOOKUP(D620,products!$A$2:$A$49,products!$D$2:$D$49,0)</f>
        <v>1</v>
      </c>
      <c r="L620" s="5">
        <f>_xlfn.XLOOKUP(D620,products!$A$2:$A$49,products!$E$2:$E$49,0)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_xlfn.XLOOKUP(orders!C621,customers!$A$1:$A$1001,customers!$G$1:$G$1001,0)</f>
        <v>United States</v>
      </c>
      <c r="I621" t="str">
        <f>_xlfn.XLOOKUP(D621,products!$A$2:$A$49,products!$B$2:$B$49,0)</f>
        <v>Lib</v>
      </c>
      <c r="J621" t="str">
        <f>_xlfn.XLOOKUP(D621,products!$A$2:$A$49,products!$C$2:$C$49,0)</f>
        <v>D</v>
      </c>
      <c r="K621" s="4">
        <f>_xlfn.XLOOKUP(D621,products!$A$2:$A$49,products!$D$2:$D$49,0)</f>
        <v>0.5</v>
      </c>
      <c r="L621" s="5">
        <f>_xlfn.XLOOKUP(D621,products!$A$2:$A$49,products!$E$2:$E$49,0)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_xlfn.XLOOKUP(orders!C622,customers!$A$1:$A$1001,customers!$G$1:$G$1001,0)</f>
        <v>United States</v>
      </c>
      <c r="I622" t="str">
        <f>_xlfn.XLOOKUP(D622,products!$A$2:$A$49,products!$B$2:$B$49,0)</f>
        <v>Ara</v>
      </c>
      <c r="J622" t="str">
        <f>_xlfn.XLOOKUP(D622,products!$A$2:$A$49,products!$C$2:$C$49,0)</f>
        <v>M</v>
      </c>
      <c r="K622" s="4">
        <f>_xlfn.XLOOKUP(D622,products!$A$2:$A$49,products!$D$2:$D$49,0)</f>
        <v>0.2</v>
      </c>
      <c r="L622" s="5">
        <f>_xlfn.XLOOKUP(D622,products!$A$2:$A$49,products!$E$2:$E$49,0)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_xlfn.XLOOKUP(orders!C623,customers!$A$1:$A$1001,customers!$G$1:$G$1001,0)</f>
        <v>United States</v>
      </c>
      <c r="I623" t="str">
        <f>_xlfn.XLOOKUP(D623,products!$A$2:$A$49,products!$B$2:$B$49,0)</f>
        <v>Ara</v>
      </c>
      <c r="J623" t="str">
        <f>_xlfn.XLOOKUP(D623,products!$A$2:$A$49,products!$C$2:$C$49,0)</f>
        <v>L</v>
      </c>
      <c r="K623" s="4">
        <f>_xlfn.XLOOKUP(D623,products!$A$2:$A$49,products!$D$2:$D$49,0)</f>
        <v>1</v>
      </c>
      <c r="L623" s="5">
        <f>_xlfn.XLOOKUP(D623,products!$A$2:$A$49,products!$E$2:$E$49,0)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_xlfn.XLOOKUP(orders!C624,customers!$A$1:$A$1001,customers!$G$1:$G$1001,0)</f>
        <v>United States</v>
      </c>
      <c r="I624" t="str">
        <f>_xlfn.XLOOKUP(D624,products!$A$2:$A$49,products!$B$2:$B$49,0)</f>
        <v>Lib</v>
      </c>
      <c r="J624" t="str">
        <f>_xlfn.XLOOKUP(D624,products!$A$2:$A$49,products!$C$2:$C$49,0)</f>
        <v>M</v>
      </c>
      <c r="K624" s="4">
        <f>_xlfn.XLOOKUP(D624,products!$A$2:$A$49,products!$D$2:$D$49,0)</f>
        <v>2.5</v>
      </c>
      <c r="L624" s="5">
        <f>_xlfn.XLOOKUP(D624,products!$A$2:$A$49,products!$E$2:$E$49,0)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_xlfn.XLOOKUP(orders!C625,customers!$A$1:$A$1001,customers!$G$1:$G$1001,0)</f>
        <v>United Kingdom</v>
      </c>
      <c r="I625" t="str">
        <f>_xlfn.XLOOKUP(D625,products!$A$2:$A$49,products!$B$2:$B$49,0)</f>
        <v>Exc</v>
      </c>
      <c r="J625" t="str">
        <f>_xlfn.XLOOKUP(D625,products!$A$2:$A$49,products!$C$2:$C$49,0)</f>
        <v>D</v>
      </c>
      <c r="K625" s="4">
        <f>_xlfn.XLOOKUP(D625,products!$A$2:$A$49,products!$D$2:$D$49,0)</f>
        <v>1</v>
      </c>
      <c r="L625" s="5">
        <f>_xlfn.XLOOKUP(D625,products!$A$2:$A$49,products!$E$2:$E$49,0)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_xlfn.XLOOKUP(orders!C626,customers!$A$1:$A$1001,customers!$G$1:$G$1001,0)</f>
        <v>Ireland</v>
      </c>
      <c r="I626" t="str">
        <f>_xlfn.XLOOKUP(D626,products!$A$2:$A$49,products!$B$2:$B$49,0)</f>
        <v>Exc</v>
      </c>
      <c r="J626" t="str">
        <f>_xlfn.XLOOKUP(D626,products!$A$2:$A$49,products!$C$2:$C$49,0)</f>
        <v>M</v>
      </c>
      <c r="K626" s="4">
        <f>_xlfn.XLOOKUP(D626,products!$A$2:$A$49,products!$D$2:$D$49,0)</f>
        <v>2.5</v>
      </c>
      <c r="L626" s="5">
        <f>_xlfn.XLOOKUP(D626,products!$A$2:$A$49,products!$E$2:$E$49,0)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_xlfn.XLOOKUP(orders!C627,customers!$A$1:$A$1001,customers!$G$1:$G$1001,0)</f>
        <v>United States</v>
      </c>
      <c r="I627" t="str">
        <f>_xlfn.XLOOKUP(D627,products!$A$2:$A$49,products!$B$2:$B$49,0)</f>
        <v>Rob</v>
      </c>
      <c r="J627" t="str">
        <f>_xlfn.XLOOKUP(D627,products!$A$2:$A$49,products!$C$2:$C$49,0)</f>
        <v>L</v>
      </c>
      <c r="K627" s="4">
        <f>_xlfn.XLOOKUP(D627,products!$A$2:$A$49,products!$D$2:$D$49,0)</f>
        <v>0.5</v>
      </c>
      <c r="L627" s="5">
        <f>_xlfn.XLOOKUP(D627,products!$A$2:$A$49,products!$E$2:$E$49,0)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_xlfn.XLOOKUP(orders!C628,customers!$A$1:$A$1001,customers!$G$1:$G$1001,0)</f>
        <v>United States</v>
      </c>
      <c r="I628" t="str">
        <f>_xlfn.XLOOKUP(D628,products!$A$2:$A$49,products!$B$2:$B$49,0)</f>
        <v>Ara</v>
      </c>
      <c r="J628" t="str">
        <f>_xlfn.XLOOKUP(D628,products!$A$2:$A$49,products!$C$2:$C$49,0)</f>
        <v>M</v>
      </c>
      <c r="K628" s="4">
        <f>_xlfn.XLOOKUP(D628,products!$A$2:$A$49,products!$D$2:$D$49,0)</f>
        <v>2.5</v>
      </c>
      <c r="L628" s="5">
        <f>_xlfn.XLOOKUP(D628,products!$A$2:$A$49,products!$E$2:$E$49,0)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_xlfn.XLOOKUP(orders!C629,customers!$A$1:$A$1001,customers!$G$1:$G$1001,0)</f>
        <v>United States</v>
      </c>
      <c r="I629" t="str">
        <f>_xlfn.XLOOKUP(D629,products!$A$2:$A$49,products!$B$2:$B$49,0)</f>
        <v>Exc</v>
      </c>
      <c r="J629" t="str">
        <f>_xlfn.XLOOKUP(D629,products!$A$2:$A$49,products!$C$2:$C$49,0)</f>
        <v>M</v>
      </c>
      <c r="K629" s="4">
        <f>_xlfn.XLOOKUP(D629,products!$A$2:$A$49,products!$D$2:$D$49,0)</f>
        <v>2.5</v>
      </c>
      <c r="L629" s="5">
        <f>_xlfn.XLOOKUP(D629,products!$A$2:$A$49,products!$E$2:$E$49,0)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_xlfn.XLOOKUP(orders!C630,customers!$A$1:$A$1001,customers!$G$1:$G$1001,0)</f>
        <v>Ireland</v>
      </c>
      <c r="I630" t="str">
        <f>_xlfn.XLOOKUP(D630,products!$A$2:$A$49,products!$B$2:$B$49,0)</f>
        <v>Exc</v>
      </c>
      <c r="J630" t="str">
        <f>_xlfn.XLOOKUP(D630,products!$A$2:$A$49,products!$C$2:$C$49,0)</f>
        <v>L</v>
      </c>
      <c r="K630" s="4">
        <f>_xlfn.XLOOKUP(D630,products!$A$2:$A$49,products!$D$2:$D$49,0)</f>
        <v>0.2</v>
      </c>
      <c r="L630" s="5">
        <f>_xlfn.XLOOKUP(D630,products!$A$2:$A$49,products!$E$2:$E$49,0)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_xlfn.XLOOKUP(orders!C631,customers!$A$1:$A$1001,customers!$G$1:$G$1001,0)</f>
        <v>Ireland</v>
      </c>
      <c r="I631" t="str">
        <f>_xlfn.XLOOKUP(D631,products!$A$2:$A$49,products!$B$2:$B$49,0)</f>
        <v>Lib</v>
      </c>
      <c r="J631" t="str">
        <f>_xlfn.XLOOKUP(D631,products!$A$2:$A$49,products!$C$2:$C$49,0)</f>
        <v>D</v>
      </c>
      <c r="K631" s="4">
        <f>_xlfn.XLOOKUP(D631,products!$A$2:$A$49,products!$D$2:$D$49,0)</f>
        <v>0.5</v>
      </c>
      <c r="L631" s="5">
        <f>_xlfn.XLOOKUP(D631,products!$A$2:$A$49,products!$E$2:$E$49,0)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_xlfn.XLOOKUP(orders!C632,customers!$A$1:$A$1001,customers!$G$1:$G$1001,0)</f>
        <v>Ireland</v>
      </c>
      <c r="I632" t="str">
        <f>_xlfn.XLOOKUP(D632,products!$A$2:$A$49,products!$B$2:$B$49,0)</f>
        <v>Ara</v>
      </c>
      <c r="J632" t="str">
        <f>_xlfn.XLOOKUP(D632,products!$A$2:$A$49,products!$C$2:$C$49,0)</f>
        <v>D</v>
      </c>
      <c r="K632" s="4">
        <f>_xlfn.XLOOKUP(D632,products!$A$2:$A$49,products!$D$2:$D$49,0)</f>
        <v>0.2</v>
      </c>
      <c r="L632" s="5">
        <f>_xlfn.XLOOKUP(D632,products!$A$2:$A$49,products!$E$2:$E$49,0)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_xlfn.XLOOKUP(orders!C633,customers!$A$1:$A$1001,customers!$G$1:$G$1001,0)</f>
        <v>Ireland</v>
      </c>
      <c r="I633" t="str">
        <f>_xlfn.XLOOKUP(D633,products!$A$2:$A$49,products!$B$2:$B$49,0)</f>
        <v>Rob</v>
      </c>
      <c r="J633" t="str">
        <f>_xlfn.XLOOKUP(D633,products!$A$2:$A$49,products!$C$2:$C$49,0)</f>
        <v>D</v>
      </c>
      <c r="K633" s="4">
        <f>_xlfn.XLOOKUP(D633,products!$A$2:$A$49,products!$D$2:$D$49,0)</f>
        <v>2.5</v>
      </c>
      <c r="L633" s="5">
        <f>_xlfn.XLOOKUP(D633,products!$A$2:$A$49,products!$E$2:$E$49,0)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_xlfn.XLOOKUP(orders!C634,customers!$A$1:$A$1001,customers!$G$1:$G$1001,0)</f>
        <v>United States</v>
      </c>
      <c r="I634" t="str">
        <f>_xlfn.XLOOKUP(D634,products!$A$2:$A$49,products!$B$2:$B$49,0)</f>
        <v>Exc</v>
      </c>
      <c r="J634" t="str">
        <f>_xlfn.XLOOKUP(D634,products!$A$2:$A$49,products!$C$2:$C$49,0)</f>
        <v>L</v>
      </c>
      <c r="K634" s="4">
        <f>_xlfn.XLOOKUP(D634,products!$A$2:$A$49,products!$D$2:$D$49,0)</f>
        <v>0.5</v>
      </c>
      <c r="L634" s="5">
        <f>_xlfn.XLOOKUP(D634,products!$A$2:$A$49,products!$E$2:$E$49,0)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_xlfn.XLOOKUP(orders!C635,customers!$A$1:$A$1001,customers!$G$1:$G$1001,0)</f>
        <v>United States</v>
      </c>
      <c r="I635" t="str">
        <f>_xlfn.XLOOKUP(D635,products!$A$2:$A$49,products!$B$2:$B$49,0)</f>
        <v>Rob</v>
      </c>
      <c r="J635" t="str">
        <f>_xlfn.XLOOKUP(D635,products!$A$2:$A$49,products!$C$2:$C$49,0)</f>
        <v>L</v>
      </c>
      <c r="K635" s="4">
        <f>_xlfn.XLOOKUP(D635,products!$A$2:$A$49,products!$D$2:$D$49,0)</f>
        <v>1</v>
      </c>
      <c r="L635" s="5">
        <f>_xlfn.XLOOKUP(D635,products!$A$2:$A$49,products!$E$2:$E$49,0)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_xlfn.XLOOKUP(orders!C636,customers!$A$1:$A$1001,customers!$G$1:$G$1001,0)</f>
        <v>United States</v>
      </c>
      <c r="I636" t="str">
        <f>_xlfn.XLOOKUP(D636,products!$A$2:$A$49,products!$B$2:$B$49,0)</f>
        <v>Lib</v>
      </c>
      <c r="J636" t="str">
        <f>_xlfn.XLOOKUP(D636,products!$A$2:$A$49,products!$C$2:$C$49,0)</f>
        <v>M</v>
      </c>
      <c r="K636" s="4">
        <f>_xlfn.XLOOKUP(D636,products!$A$2:$A$49,products!$D$2:$D$49,0)</f>
        <v>1</v>
      </c>
      <c r="L636" s="5">
        <f>_xlfn.XLOOKUP(D636,products!$A$2:$A$49,products!$E$2:$E$49,0)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_xlfn.XLOOKUP(orders!C637,customers!$A$1:$A$1001,customers!$G$1:$G$1001,0)</f>
        <v>United States</v>
      </c>
      <c r="I637" t="str">
        <f>_xlfn.XLOOKUP(D637,products!$A$2:$A$49,products!$B$2:$B$49,0)</f>
        <v>Exc</v>
      </c>
      <c r="J637" t="str">
        <f>_xlfn.XLOOKUP(D637,products!$A$2:$A$49,products!$C$2:$C$49,0)</f>
        <v>L</v>
      </c>
      <c r="K637" s="4">
        <f>_xlfn.XLOOKUP(D637,products!$A$2:$A$49,products!$D$2:$D$49,0)</f>
        <v>0.5</v>
      </c>
      <c r="L637" s="5">
        <f>_xlfn.XLOOKUP(D637,products!$A$2:$A$49,products!$E$2:$E$49,0)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_xlfn.XLOOKUP(orders!C638,customers!$A$1:$A$1001,customers!$G$1:$G$1001,0)</f>
        <v>United States</v>
      </c>
      <c r="I638" t="str">
        <f>_xlfn.XLOOKUP(D638,products!$A$2:$A$49,products!$B$2:$B$49,0)</f>
        <v>Lib</v>
      </c>
      <c r="J638" t="str">
        <f>_xlfn.XLOOKUP(D638,products!$A$2:$A$49,products!$C$2:$C$49,0)</f>
        <v>L</v>
      </c>
      <c r="K638" s="4">
        <f>_xlfn.XLOOKUP(D638,products!$A$2:$A$49,products!$D$2:$D$49,0)</f>
        <v>1</v>
      </c>
      <c r="L638" s="5">
        <f>_xlfn.XLOOKUP(D638,products!$A$2:$A$49,products!$E$2:$E$49,0)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_xlfn.XLOOKUP(orders!C639,customers!$A$1:$A$1001,customers!$G$1:$G$1001,0)</f>
        <v>Ireland</v>
      </c>
      <c r="I639" t="str">
        <f>_xlfn.XLOOKUP(D639,products!$A$2:$A$49,products!$B$2:$B$49,0)</f>
        <v>Exc</v>
      </c>
      <c r="J639" t="str">
        <f>_xlfn.XLOOKUP(D639,products!$A$2:$A$49,products!$C$2:$C$49,0)</f>
        <v>M</v>
      </c>
      <c r="K639" s="4">
        <f>_xlfn.XLOOKUP(D639,products!$A$2:$A$49,products!$D$2:$D$49,0)</f>
        <v>2.5</v>
      </c>
      <c r="L639" s="5">
        <f>_xlfn.XLOOKUP(D639,products!$A$2:$A$49,products!$E$2:$E$49,0)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_xlfn.XLOOKUP(orders!C640,customers!$A$1:$A$1001,customers!$G$1:$G$1001,0)</f>
        <v>Ireland</v>
      </c>
      <c r="I640" t="str">
        <f>_xlfn.XLOOKUP(D640,products!$A$2:$A$49,products!$B$2:$B$49,0)</f>
        <v>Ara</v>
      </c>
      <c r="J640" t="str">
        <f>_xlfn.XLOOKUP(D640,products!$A$2:$A$49,products!$C$2:$C$49,0)</f>
        <v>M</v>
      </c>
      <c r="K640" s="4">
        <f>_xlfn.XLOOKUP(D640,products!$A$2:$A$49,products!$D$2:$D$49,0)</f>
        <v>2.5</v>
      </c>
      <c r="L640" s="5">
        <f>_xlfn.XLOOKUP(D640,products!$A$2:$A$49,products!$E$2:$E$49,0)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_xlfn.XLOOKUP(orders!C641,customers!$A$1:$A$1001,customers!$G$1:$G$1001,0)</f>
        <v>United States</v>
      </c>
      <c r="I641" t="str">
        <f>_xlfn.XLOOKUP(D641,products!$A$2:$A$49,products!$B$2:$B$49,0)</f>
        <v>Lib</v>
      </c>
      <c r="J641" t="str">
        <f>_xlfn.XLOOKUP(D641,products!$A$2:$A$49,products!$C$2:$C$49,0)</f>
        <v>D</v>
      </c>
      <c r="K641" s="4">
        <f>_xlfn.XLOOKUP(D641,products!$A$2:$A$49,products!$D$2:$D$49,0)</f>
        <v>0.2</v>
      </c>
      <c r="L641" s="5">
        <f>_xlfn.XLOOKUP(D641,products!$A$2:$A$49,products!$E$2:$E$49,0)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_xlfn.XLOOKUP(orders!C642,customers!$A$1:$A$1001,customers!$G$1:$G$1001,0)</f>
        <v>United States</v>
      </c>
      <c r="I642" t="str">
        <f>_xlfn.XLOOKUP(D642,products!$A$2:$A$49,products!$B$2:$B$49,0)</f>
        <v>Rob</v>
      </c>
      <c r="J642" t="str">
        <f>_xlfn.XLOOKUP(D642,products!$A$2:$A$49,products!$C$2:$C$49,0)</f>
        <v>L</v>
      </c>
      <c r="K642" s="4">
        <f>_xlfn.XLOOKUP(D642,products!$A$2:$A$49,products!$D$2:$D$49,0)</f>
        <v>2.5</v>
      </c>
      <c r="L642" s="5">
        <f>_xlfn.XLOOKUP(D642,products!$A$2:$A$49,products!$E$2:$E$49,0)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_xlfn.XLOOKUP(orders!C643,customers!$A$1:$A$1001,customers!$G$1:$G$1001,0)</f>
        <v>United States</v>
      </c>
      <c r="I643" t="str">
        <f>_xlfn.XLOOKUP(D643,products!$A$2:$A$49,products!$B$2:$B$49,0)</f>
        <v>Rob</v>
      </c>
      <c r="J643" t="str">
        <f>_xlfn.XLOOKUP(D643,products!$A$2:$A$49,products!$C$2:$C$49,0)</f>
        <v>L</v>
      </c>
      <c r="K643" s="4">
        <f>_xlfn.XLOOKUP(D643,products!$A$2:$A$49,products!$D$2:$D$49,0)</f>
        <v>1</v>
      </c>
      <c r="L643" s="5">
        <f>_xlfn.XLOOKUP(D643,products!$A$2:$A$49,products!$E$2:$E$49,0)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_xlfn.XLOOKUP(orders!C644,customers!$A$1:$A$1001,customers!$G$1:$G$1001,0)</f>
        <v>United Kingdom</v>
      </c>
      <c r="I644" t="str">
        <f>_xlfn.XLOOKUP(D644,products!$A$2:$A$49,products!$B$2:$B$49,0)</f>
        <v>Exc</v>
      </c>
      <c r="J644" t="str">
        <f>_xlfn.XLOOKUP(D644,products!$A$2:$A$49,products!$C$2:$C$49,0)</f>
        <v>M</v>
      </c>
      <c r="K644" s="4">
        <f>_xlfn.XLOOKUP(D644,products!$A$2:$A$49,products!$D$2:$D$49,0)</f>
        <v>0.2</v>
      </c>
      <c r="L644" s="5">
        <f>_xlfn.XLOOKUP(D644,products!$A$2:$A$49,products!$E$2:$E$49,0)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_xlfn.XLOOKUP(orders!C645,customers!$A$1:$A$1001,customers!$G$1:$G$1001,0)</f>
        <v>United States</v>
      </c>
      <c r="I645" t="str">
        <f>_xlfn.XLOOKUP(D645,products!$A$2:$A$49,products!$B$2:$B$49,0)</f>
        <v>Exc</v>
      </c>
      <c r="J645" t="str">
        <f>_xlfn.XLOOKUP(D645,products!$A$2:$A$49,products!$C$2:$C$49,0)</f>
        <v>L</v>
      </c>
      <c r="K645" s="4">
        <f>_xlfn.XLOOKUP(D645,products!$A$2:$A$49,products!$D$2:$D$49,0)</f>
        <v>2.5</v>
      </c>
      <c r="L645" s="5">
        <f>_xlfn.XLOOKUP(D645,products!$A$2:$A$49,products!$E$2:$E$49,0)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_xlfn.XLOOKUP(orders!C646,customers!$A$1:$A$1001,customers!$G$1:$G$1001,0)</f>
        <v>United States</v>
      </c>
      <c r="I646" t="str">
        <f>_xlfn.XLOOKUP(D646,products!$A$2:$A$49,products!$B$2:$B$49,0)</f>
        <v>Rob</v>
      </c>
      <c r="J646" t="str">
        <f>_xlfn.XLOOKUP(D646,products!$A$2:$A$49,products!$C$2:$C$49,0)</f>
        <v>D</v>
      </c>
      <c r="K646" s="4">
        <f>_xlfn.XLOOKUP(D646,products!$A$2:$A$49,products!$D$2:$D$49,0)</f>
        <v>2.5</v>
      </c>
      <c r="L646" s="5">
        <f>_xlfn.XLOOKUP(D646,products!$A$2:$A$49,products!$E$2:$E$49,0)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_xlfn.XLOOKUP(orders!C647,customers!$A$1:$A$1001,customers!$G$1:$G$1001,0)</f>
        <v>United States</v>
      </c>
      <c r="I647" t="str">
        <f>_xlfn.XLOOKUP(D647,products!$A$2:$A$49,products!$B$2:$B$49,0)</f>
        <v>Ara</v>
      </c>
      <c r="J647" t="str">
        <f>_xlfn.XLOOKUP(D647,products!$A$2:$A$49,products!$C$2:$C$49,0)</f>
        <v>D</v>
      </c>
      <c r="K647" s="4">
        <f>_xlfn.XLOOKUP(D647,products!$A$2:$A$49,products!$D$2:$D$49,0)</f>
        <v>2.5</v>
      </c>
      <c r="L647" s="5">
        <f>_xlfn.XLOOKUP(D647,products!$A$2:$A$49,products!$E$2:$E$49,0)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_xlfn.XLOOKUP(orders!C648,customers!$A$1:$A$1001,customers!$G$1:$G$1001,0)</f>
        <v>United States</v>
      </c>
      <c r="I648" t="str">
        <f>_xlfn.XLOOKUP(D648,products!$A$2:$A$49,products!$B$2:$B$49,0)</f>
        <v>Ara</v>
      </c>
      <c r="J648" t="str">
        <f>_xlfn.XLOOKUP(D648,products!$A$2:$A$49,products!$C$2:$C$49,0)</f>
        <v>D</v>
      </c>
      <c r="K648" s="4">
        <f>_xlfn.XLOOKUP(D648,products!$A$2:$A$49,products!$D$2:$D$49,0)</f>
        <v>1</v>
      </c>
      <c r="L648" s="5">
        <f>_xlfn.XLOOKUP(D648,products!$A$2:$A$49,products!$E$2:$E$49,0)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_xlfn.XLOOKUP(orders!C649,customers!$A$1:$A$1001,customers!$G$1:$G$1001,0)</f>
        <v>United Kingdom</v>
      </c>
      <c r="I649" t="str">
        <f>_xlfn.XLOOKUP(D649,products!$A$2:$A$49,products!$B$2:$B$49,0)</f>
        <v>Lib</v>
      </c>
      <c r="J649" t="str">
        <f>_xlfn.XLOOKUP(D649,products!$A$2:$A$49,products!$C$2:$C$49,0)</f>
        <v>L</v>
      </c>
      <c r="K649" s="4">
        <f>_xlfn.XLOOKUP(D649,products!$A$2:$A$49,products!$D$2:$D$49,0)</f>
        <v>0.5</v>
      </c>
      <c r="L649" s="5">
        <f>_xlfn.XLOOKUP(D649,products!$A$2:$A$49,products!$E$2:$E$49,0)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_xlfn.XLOOKUP(orders!C650,customers!$A$1:$A$1001,customers!$G$1:$G$1001,0)</f>
        <v>United States</v>
      </c>
      <c r="I650" t="str">
        <f>_xlfn.XLOOKUP(D650,products!$A$2:$A$49,products!$B$2:$B$49,0)</f>
        <v>Rob</v>
      </c>
      <c r="J650" t="str">
        <f>_xlfn.XLOOKUP(D650,products!$A$2:$A$49,products!$C$2:$C$49,0)</f>
        <v>D</v>
      </c>
      <c r="K650" s="4">
        <f>_xlfn.XLOOKUP(D650,products!$A$2:$A$49,products!$D$2:$D$49,0)</f>
        <v>0.2</v>
      </c>
      <c r="L650" s="5">
        <f>_xlfn.XLOOKUP(D650,products!$A$2:$A$49,products!$E$2:$E$49,0)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_xlfn.XLOOKUP(orders!C651,customers!$A$1:$A$1001,customers!$G$1:$G$1001,0)</f>
        <v>United Kingdom</v>
      </c>
      <c r="I651" t="str">
        <f>_xlfn.XLOOKUP(D651,products!$A$2:$A$49,products!$B$2:$B$49,0)</f>
        <v>Lib</v>
      </c>
      <c r="J651" t="str">
        <f>_xlfn.XLOOKUP(D651,products!$A$2:$A$49,products!$C$2:$C$49,0)</f>
        <v>L</v>
      </c>
      <c r="K651" s="4">
        <f>_xlfn.XLOOKUP(D651,products!$A$2:$A$49,products!$D$2:$D$49,0)</f>
        <v>1</v>
      </c>
      <c r="L651" s="5">
        <f>_xlfn.XLOOKUP(D651,products!$A$2:$A$49,products!$E$2:$E$49,0)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_xlfn.XLOOKUP(orders!C652,customers!$A$1:$A$1001,customers!$G$1:$G$1001,0)</f>
        <v>United States</v>
      </c>
      <c r="I652" t="str">
        <f>_xlfn.XLOOKUP(D652,products!$A$2:$A$49,products!$B$2:$B$49,0)</f>
        <v>Rob</v>
      </c>
      <c r="J652" t="str">
        <f>_xlfn.XLOOKUP(D652,products!$A$2:$A$49,products!$C$2:$C$49,0)</f>
        <v>D</v>
      </c>
      <c r="K652" s="4">
        <f>_xlfn.XLOOKUP(D652,products!$A$2:$A$49,products!$D$2:$D$49,0)</f>
        <v>0.5</v>
      </c>
      <c r="L652" s="5">
        <f>_xlfn.XLOOKUP(D652,products!$A$2:$A$49,products!$E$2:$E$49,0)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_xlfn.XLOOKUP(orders!C653,customers!$A$1:$A$1001,customers!$G$1:$G$1001,0)</f>
        <v>United States</v>
      </c>
      <c r="I653" t="str">
        <f>_xlfn.XLOOKUP(D653,products!$A$2:$A$49,products!$B$2:$B$49,0)</f>
        <v>Rob</v>
      </c>
      <c r="J653" t="str">
        <f>_xlfn.XLOOKUP(D653,products!$A$2:$A$49,products!$C$2:$C$49,0)</f>
        <v>L</v>
      </c>
      <c r="K653" s="4">
        <f>_xlfn.XLOOKUP(D653,products!$A$2:$A$49,products!$D$2:$D$49,0)</f>
        <v>1</v>
      </c>
      <c r="L653" s="5">
        <f>_xlfn.XLOOKUP(D653,products!$A$2:$A$49,products!$E$2:$E$49,0)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_xlfn.XLOOKUP(orders!C654,customers!$A$1:$A$1001,customers!$G$1:$G$1001,0)</f>
        <v>Ireland</v>
      </c>
      <c r="I654" t="str">
        <f>_xlfn.XLOOKUP(D654,products!$A$2:$A$49,products!$B$2:$B$49,0)</f>
        <v>Lib</v>
      </c>
      <c r="J654" t="str">
        <f>_xlfn.XLOOKUP(D654,products!$A$2:$A$49,products!$C$2:$C$49,0)</f>
        <v>L</v>
      </c>
      <c r="K654" s="4">
        <f>_xlfn.XLOOKUP(D654,products!$A$2:$A$49,products!$D$2:$D$49,0)</f>
        <v>1</v>
      </c>
      <c r="L654" s="5">
        <f>_xlfn.XLOOKUP(D654,products!$A$2:$A$49,products!$E$2:$E$49,0)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_xlfn.XLOOKUP(orders!C655,customers!$A$1:$A$1001,customers!$G$1:$G$1001,0)</f>
        <v>United States</v>
      </c>
      <c r="I655" t="str">
        <f>_xlfn.XLOOKUP(D655,products!$A$2:$A$49,products!$B$2:$B$49,0)</f>
        <v>Ara</v>
      </c>
      <c r="J655" t="str">
        <f>_xlfn.XLOOKUP(D655,products!$A$2:$A$49,products!$C$2:$C$49,0)</f>
        <v>M</v>
      </c>
      <c r="K655" s="4">
        <f>_xlfn.XLOOKUP(D655,products!$A$2:$A$49,products!$D$2:$D$49,0)</f>
        <v>2.5</v>
      </c>
      <c r="L655" s="5">
        <f>_xlfn.XLOOKUP(D655,products!$A$2:$A$49,products!$E$2:$E$49,0)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_xlfn.XLOOKUP(orders!C656,customers!$A$1:$A$1001,customers!$G$1:$G$1001,0)</f>
        <v>United States</v>
      </c>
      <c r="I656" t="str">
        <f>_xlfn.XLOOKUP(D656,products!$A$2:$A$49,products!$B$2:$B$49,0)</f>
        <v>Ara</v>
      </c>
      <c r="J656" t="str">
        <f>_xlfn.XLOOKUP(D656,products!$A$2:$A$49,products!$C$2:$C$49,0)</f>
        <v>D</v>
      </c>
      <c r="K656" s="4">
        <f>_xlfn.XLOOKUP(D656,products!$A$2:$A$49,products!$D$2:$D$49,0)</f>
        <v>2.5</v>
      </c>
      <c r="L656" s="5">
        <f>_xlfn.XLOOKUP(D656,products!$A$2:$A$49,products!$E$2:$E$49,0)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_xlfn.XLOOKUP(orders!C657,customers!$A$1:$A$1001,customers!$G$1:$G$1001,0)</f>
        <v>United States</v>
      </c>
      <c r="I657" t="str">
        <f>_xlfn.XLOOKUP(D657,products!$A$2:$A$49,products!$B$2:$B$49,0)</f>
        <v>Rob</v>
      </c>
      <c r="J657" t="str">
        <f>_xlfn.XLOOKUP(D657,products!$A$2:$A$49,products!$C$2:$C$49,0)</f>
        <v>M</v>
      </c>
      <c r="K657" s="4">
        <f>_xlfn.XLOOKUP(D657,products!$A$2:$A$49,products!$D$2:$D$49,0)</f>
        <v>2.5</v>
      </c>
      <c r="L657" s="5">
        <f>_xlfn.XLOOKUP(D657,products!$A$2:$A$49,products!$E$2:$E$49,0)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_xlfn.XLOOKUP(orders!C658,customers!$A$1:$A$1001,customers!$G$1:$G$1001,0)</f>
        <v>United States</v>
      </c>
      <c r="I658" t="str">
        <f>_xlfn.XLOOKUP(D658,products!$A$2:$A$49,products!$B$2:$B$49,0)</f>
        <v>Lib</v>
      </c>
      <c r="J658" t="str">
        <f>_xlfn.XLOOKUP(D658,products!$A$2:$A$49,products!$C$2:$C$49,0)</f>
        <v>D</v>
      </c>
      <c r="K658" s="4">
        <f>_xlfn.XLOOKUP(D658,products!$A$2:$A$49,products!$D$2:$D$49,0)</f>
        <v>1</v>
      </c>
      <c r="L658" s="5">
        <f>_xlfn.XLOOKUP(D658,products!$A$2:$A$49,products!$E$2:$E$49,0)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_xlfn.XLOOKUP(orders!C659,customers!$A$1:$A$1001,customers!$G$1:$G$1001,0)</f>
        <v>United States</v>
      </c>
      <c r="I659" t="str">
        <f>_xlfn.XLOOKUP(D659,products!$A$2:$A$49,products!$B$2:$B$49,0)</f>
        <v>Ara</v>
      </c>
      <c r="J659" t="str">
        <f>_xlfn.XLOOKUP(D659,products!$A$2:$A$49,products!$C$2:$C$49,0)</f>
        <v>M</v>
      </c>
      <c r="K659" s="4">
        <f>_xlfn.XLOOKUP(D659,products!$A$2:$A$49,products!$D$2:$D$49,0)</f>
        <v>0.5</v>
      </c>
      <c r="L659" s="5">
        <f>_xlfn.XLOOKUP(D659,products!$A$2:$A$49,products!$E$2:$E$49,0)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_xlfn.XLOOKUP(orders!C660,customers!$A$1:$A$1001,customers!$G$1:$G$1001,0)</f>
        <v>United States</v>
      </c>
      <c r="I660" t="str">
        <f>_xlfn.XLOOKUP(D660,products!$A$2:$A$49,products!$B$2:$B$49,0)</f>
        <v>Exc</v>
      </c>
      <c r="J660" t="str">
        <f>_xlfn.XLOOKUP(D660,products!$A$2:$A$49,products!$C$2:$C$49,0)</f>
        <v>M</v>
      </c>
      <c r="K660" s="4">
        <f>_xlfn.XLOOKUP(D660,products!$A$2:$A$49,products!$D$2:$D$49,0)</f>
        <v>0.5</v>
      </c>
      <c r="L660" s="5">
        <f>_xlfn.XLOOKUP(D660,products!$A$2:$A$49,products!$E$2:$E$49,0)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_xlfn.XLOOKUP(orders!C661,customers!$A$1:$A$1001,customers!$G$1:$G$1001,0)</f>
        <v>Ireland</v>
      </c>
      <c r="I661" t="str">
        <f>_xlfn.XLOOKUP(D661,products!$A$2:$A$49,products!$B$2:$B$49,0)</f>
        <v>Ara</v>
      </c>
      <c r="J661" t="str">
        <f>_xlfn.XLOOKUP(D661,products!$A$2:$A$49,products!$C$2:$C$49,0)</f>
        <v>D</v>
      </c>
      <c r="K661" s="4">
        <f>_xlfn.XLOOKUP(D661,products!$A$2:$A$49,products!$D$2:$D$49,0)</f>
        <v>2.5</v>
      </c>
      <c r="L661" s="5">
        <f>_xlfn.XLOOKUP(D661,products!$A$2:$A$49,products!$E$2:$E$49,0)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_xlfn.XLOOKUP(orders!C662,customers!$A$1:$A$1001,customers!$G$1:$G$1001,0)</f>
        <v>United States</v>
      </c>
      <c r="I662" t="str">
        <f>_xlfn.XLOOKUP(D662,products!$A$2:$A$49,products!$B$2:$B$49,0)</f>
        <v>Exc</v>
      </c>
      <c r="J662" t="str">
        <f>_xlfn.XLOOKUP(D662,products!$A$2:$A$49,products!$C$2:$C$49,0)</f>
        <v>L</v>
      </c>
      <c r="K662" s="4">
        <f>_xlfn.XLOOKUP(D662,products!$A$2:$A$49,products!$D$2:$D$49,0)</f>
        <v>0.5</v>
      </c>
      <c r="L662" s="5">
        <f>_xlfn.XLOOKUP(D662,products!$A$2:$A$49,products!$E$2:$E$49,0)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_xlfn.XLOOKUP(orders!C663,customers!$A$1:$A$1001,customers!$G$1:$G$1001,0)</f>
        <v>United States</v>
      </c>
      <c r="I663" t="str">
        <f>_xlfn.XLOOKUP(D663,products!$A$2:$A$49,products!$B$2:$B$49,0)</f>
        <v>Ara</v>
      </c>
      <c r="J663" t="str">
        <f>_xlfn.XLOOKUP(D663,products!$A$2:$A$49,products!$C$2:$C$49,0)</f>
        <v>M</v>
      </c>
      <c r="K663" s="4">
        <f>_xlfn.XLOOKUP(D663,products!$A$2:$A$49,products!$D$2:$D$49,0)</f>
        <v>0.2</v>
      </c>
      <c r="L663" s="5">
        <f>_xlfn.XLOOKUP(D663,products!$A$2:$A$49,products!$E$2:$E$49,0)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_xlfn.XLOOKUP(orders!C664,customers!$A$1:$A$1001,customers!$G$1:$G$1001,0)</f>
        <v>United States</v>
      </c>
      <c r="I664" t="str">
        <f>_xlfn.XLOOKUP(D664,products!$A$2:$A$49,products!$B$2:$B$49,0)</f>
        <v>Lib</v>
      </c>
      <c r="J664" t="str">
        <f>_xlfn.XLOOKUP(D664,products!$A$2:$A$49,products!$C$2:$C$49,0)</f>
        <v>D</v>
      </c>
      <c r="K664" s="4">
        <f>_xlfn.XLOOKUP(D664,products!$A$2:$A$49,products!$D$2:$D$49,0)</f>
        <v>2.5</v>
      </c>
      <c r="L664" s="5">
        <f>_xlfn.XLOOKUP(D664,products!$A$2:$A$49,products!$E$2:$E$49,0)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_xlfn.XLOOKUP(orders!C665,customers!$A$1:$A$1001,customers!$G$1:$G$1001,0)</f>
        <v>United States</v>
      </c>
      <c r="I665" t="str">
        <f>_xlfn.XLOOKUP(D665,products!$A$2:$A$49,products!$B$2:$B$49,0)</f>
        <v>Ara</v>
      </c>
      <c r="J665" t="str">
        <f>_xlfn.XLOOKUP(D665,products!$A$2:$A$49,products!$C$2:$C$49,0)</f>
        <v>M</v>
      </c>
      <c r="K665" s="4">
        <f>_xlfn.XLOOKUP(D665,products!$A$2:$A$49,products!$D$2:$D$49,0)</f>
        <v>1</v>
      </c>
      <c r="L665" s="5">
        <f>_xlfn.XLOOKUP(D665,products!$A$2:$A$49,products!$E$2:$E$49,0)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_xlfn.XLOOKUP(orders!C666,customers!$A$1:$A$1001,customers!$G$1:$G$1001,0)</f>
        <v>United States</v>
      </c>
      <c r="I666" t="str">
        <f>_xlfn.XLOOKUP(D666,products!$A$2:$A$49,products!$B$2:$B$49,0)</f>
        <v>Exc</v>
      </c>
      <c r="J666" t="str">
        <f>_xlfn.XLOOKUP(D666,products!$A$2:$A$49,products!$C$2:$C$49,0)</f>
        <v>D</v>
      </c>
      <c r="K666" s="4">
        <f>_xlfn.XLOOKUP(D666,products!$A$2:$A$49,products!$D$2:$D$49,0)</f>
        <v>1</v>
      </c>
      <c r="L666" s="5">
        <f>_xlfn.XLOOKUP(D666,products!$A$2:$A$49,products!$E$2:$E$49,0)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_xlfn.XLOOKUP(orders!C667,customers!$A$1:$A$1001,customers!$G$1:$G$1001,0)</f>
        <v>United States</v>
      </c>
      <c r="I667" t="str">
        <f>_xlfn.XLOOKUP(D667,products!$A$2:$A$49,products!$B$2:$B$49,0)</f>
        <v>Lib</v>
      </c>
      <c r="J667" t="str">
        <f>_xlfn.XLOOKUP(D667,products!$A$2:$A$49,products!$C$2:$C$49,0)</f>
        <v>D</v>
      </c>
      <c r="K667" s="4">
        <f>_xlfn.XLOOKUP(D667,products!$A$2:$A$49,products!$D$2:$D$49,0)</f>
        <v>0.2</v>
      </c>
      <c r="L667" s="5">
        <f>_xlfn.XLOOKUP(D667,products!$A$2:$A$49,products!$E$2:$E$49,0)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_xlfn.XLOOKUP(orders!C668,customers!$A$1:$A$1001,customers!$G$1:$G$1001,0)</f>
        <v>United States</v>
      </c>
      <c r="I668" t="str">
        <f>_xlfn.XLOOKUP(D668,products!$A$2:$A$49,products!$B$2:$B$49,0)</f>
        <v>Ara</v>
      </c>
      <c r="J668" t="str">
        <f>_xlfn.XLOOKUP(D668,products!$A$2:$A$49,products!$C$2:$C$49,0)</f>
        <v>D</v>
      </c>
      <c r="K668" s="4">
        <f>_xlfn.XLOOKUP(D668,products!$A$2:$A$49,products!$D$2:$D$49,0)</f>
        <v>2.5</v>
      </c>
      <c r="L668" s="5">
        <f>_xlfn.XLOOKUP(D668,products!$A$2:$A$49,products!$E$2:$E$49,0)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_xlfn.XLOOKUP(orders!C669,customers!$A$1:$A$1001,customers!$G$1:$G$1001,0)</f>
        <v>Ireland</v>
      </c>
      <c r="I669" t="str">
        <f>_xlfn.XLOOKUP(D669,products!$A$2:$A$49,products!$B$2:$B$49,0)</f>
        <v>Ara</v>
      </c>
      <c r="J669" t="str">
        <f>_xlfn.XLOOKUP(D669,products!$A$2:$A$49,products!$C$2:$C$49,0)</f>
        <v>D</v>
      </c>
      <c r="K669" s="4">
        <f>_xlfn.XLOOKUP(D669,products!$A$2:$A$49,products!$D$2:$D$49,0)</f>
        <v>1</v>
      </c>
      <c r="L669" s="5">
        <f>_xlfn.XLOOKUP(D669,products!$A$2:$A$49,products!$E$2:$E$49,0)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_xlfn.XLOOKUP(orders!C670,customers!$A$1:$A$1001,customers!$G$1:$G$1001,0)</f>
        <v>United States</v>
      </c>
      <c r="I670" t="str">
        <f>_xlfn.XLOOKUP(D670,products!$A$2:$A$49,products!$B$2:$B$49,0)</f>
        <v>Rob</v>
      </c>
      <c r="J670" t="str">
        <f>_xlfn.XLOOKUP(D670,products!$A$2:$A$49,products!$C$2:$C$49,0)</f>
        <v>L</v>
      </c>
      <c r="K670" s="4">
        <f>_xlfn.XLOOKUP(D670,products!$A$2:$A$49,products!$D$2:$D$49,0)</f>
        <v>2.5</v>
      </c>
      <c r="L670" s="5">
        <f>_xlfn.XLOOKUP(D670,products!$A$2:$A$49,products!$E$2:$E$49,0)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_xlfn.XLOOKUP(orders!C671,customers!$A$1:$A$1001,customers!$G$1:$G$1001,0)</f>
        <v>United States</v>
      </c>
      <c r="I671" t="str">
        <f>_xlfn.XLOOKUP(D671,products!$A$2:$A$49,products!$B$2:$B$49,0)</f>
        <v>Lib</v>
      </c>
      <c r="J671" t="str">
        <f>_xlfn.XLOOKUP(D671,products!$A$2:$A$49,products!$C$2:$C$49,0)</f>
        <v>M</v>
      </c>
      <c r="K671" s="4">
        <f>_xlfn.XLOOKUP(D671,products!$A$2:$A$49,products!$D$2:$D$49,0)</f>
        <v>2.5</v>
      </c>
      <c r="L671" s="5">
        <f>_xlfn.XLOOKUP(D671,products!$A$2:$A$49,products!$E$2:$E$49,0)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_xlfn.XLOOKUP(orders!C672,customers!$A$1:$A$1001,customers!$G$1:$G$1001,0)</f>
        <v>United States</v>
      </c>
      <c r="I672" t="str">
        <f>_xlfn.XLOOKUP(D672,products!$A$2:$A$49,products!$B$2:$B$49,0)</f>
        <v>Lib</v>
      </c>
      <c r="J672" t="str">
        <f>_xlfn.XLOOKUP(D672,products!$A$2:$A$49,products!$C$2:$C$49,0)</f>
        <v>M</v>
      </c>
      <c r="K672" s="4">
        <f>_xlfn.XLOOKUP(D672,products!$A$2:$A$49,products!$D$2:$D$49,0)</f>
        <v>0.2</v>
      </c>
      <c r="L672" s="5">
        <f>_xlfn.XLOOKUP(D672,products!$A$2:$A$49,products!$E$2:$E$49,0)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_xlfn.XLOOKUP(orders!C673,customers!$A$1:$A$1001,customers!$G$1:$G$1001,0)</f>
        <v>United States</v>
      </c>
      <c r="I673" t="str">
        <f>_xlfn.XLOOKUP(D673,products!$A$2:$A$49,products!$B$2:$B$49,0)</f>
        <v>Rob</v>
      </c>
      <c r="J673" t="str">
        <f>_xlfn.XLOOKUP(D673,products!$A$2:$A$49,products!$C$2:$C$49,0)</f>
        <v>L</v>
      </c>
      <c r="K673" s="4">
        <f>_xlfn.XLOOKUP(D673,products!$A$2:$A$49,products!$D$2:$D$49,0)</f>
        <v>1</v>
      </c>
      <c r="L673" s="5">
        <f>_xlfn.XLOOKUP(D673,products!$A$2:$A$49,products!$E$2:$E$49,0)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_xlfn.XLOOKUP(orders!C674,customers!$A$1:$A$1001,customers!$G$1:$G$1001,0)</f>
        <v>United States</v>
      </c>
      <c r="I674" t="str">
        <f>_xlfn.XLOOKUP(D674,products!$A$2:$A$49,products!$B$2:$B$49,0)</f>
        <v>Lib</v>
      </c>
      <c r="J674" t="str">
        <f>_xlfn.XLOOKUP(D674,products!$A$2:$A$49,products!$C$2:$C$49,0)</f>
        <v>M</v>
      </c>
      <c r="K674" s="4">
        <f>_xlfn.XLOOKUP(D674,products!$A$2:$A$49,products!$D$2:$D$49,0)</f>
        <v>0.5</v>
      </c>
      <c r="L674" s="5">
        <f>_xlfn.XLOOKUP(D674,products!$A$2:$A$49,products!$E$2:$E$49,0)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_xlfn.XLOOKUP(orders!C675,customers!$A$1:$A$1001,customers!$G$1:$G$1001,0)</f>
        <v>United States</v>
      </c>
      <c r="I675" t="str">
        <f>_xlfn.XLOOKUP(D675,products!$A$2:$A$49,products!$B$2:$B$49,0)</f>
        <v>Exc</v>
      </c>
      <c r="J675" t="str">
        <f>_xlfn.XLOOKUP(D675,products!$A$2:$A$49,products!$C$2:$C$49,0)</f>
        <v>M</v>
      </c>
      <c r="K675" s="4">
        <f>_xlfn.XLOOKUP(D675,products!$A$2:$A$49,products!$D$2:$D$49,0)</f>
        <v>1</v>
      </c>
      <c r="L675" s="5">
        <f>_xlfn.XLOOKUP(D675,products!$A$2:$A$49,products!$E$2:$E$49,0)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_xlfn.XLOOKUP(orders!C676,customers!$A$1:$A$1001,customers!$G$1:$G$1001,0)</f>
        <v>United States</v>
      </c>
      <c r="I676" t="str">
        <f>_xlfn.XLOOKUP(D676,products!$A$2:$A$49,products!$B$2:$B$49,0)</f>
        <v>Ara</v>
      </c>
      <c r="J676" t="str">
        <f>_xlfn.XLOOKUP(D676,products!$A$2:$A$49,products!$C$2:$C$49,0)</f>
        <v>L</v>
      </c>
      <c r="K676" s="4">
        <f>_xlfn.XLOOKUP(D676,products!$A$2:$A$49,products!$D$2:$D$49,0)</f>
        <v>2.5</v>
      </c>
      <c r="L676" s="5">
        <f>_xlfn.XLOOKUP(D676,products!$A$2:$A$49,products!$E$2:$E$49,0)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_xlfn.XLOOKUP(orders!C677,customers!$A$1:$A$1001,customers!$G$1:$G$1001,0)</f>
        <v>United States</v>
      </c>
      <c r="I677" t="str">
        <f>_xlfn.XLOOKUP(D677,products!$A$2:$A$49,products!$B$2:$B$49,0)</f>
        <v>Lib</v>
      </c>
      <c r="J677" t="str">
        <f>_xlfn.XLOOKUP(D677,products!$A$2:$A$49,products!$C$2:$C$49,0)</f>
        <v>D</v>
      </c>
      <c r="K677" s="4">
        <f>_xlfn.XLOOKUP(D677,products!$A$2:$A$49,products!$D$2:$D$49,0)</f>
        <v>2.5</v>
      </c>
      <c r="L677" s="5">
        <f>_xlfn.XLOOKUP(D677,products!$A$2:$A$49,products!$E$2:$E$49,0)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_xlfn.XLOOKUP(orders!C678,customers!$A$1:$A$1001,customers!$G$1:$G$1001,0)</f>
        <v>United States</v>
      </c>
      <c r="I678" t="str">
        <f>_xlfn.XLOOKUP(D678,products!$A$2:$A$49,products!$B$2:$B$49,0)</f>
        <v>Lib</v>
      </c>
      <c r="J678" t="str">
        <f>_xlfn.XLOOKUP(D678,products!$A$2:$A$49,products!$C$2:$C$49,0)</f>
        <v>L</v>
      </c>
      <c r="K678" s="4">
        <f>_xlfn.XLOOKUP(D678,products!$A$2:$A$49,products!$D$2:$D$49,0)</f>
        <v>0.5</v>
      </c>
      <c r="L678" s="5">
        <f>_xlfn.XLOOKUP(D678,products!$A$2:$A$49,products!$E$2:$E$49,0)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_xlfn.XLOOKUP(orders!C679,customers!$A$1:$A$1001,customers!$G$1:$G$1001,0)</f>
        <v>Ireland</v>
      </c>
      <c r="I679" t="str">
        <f>_xlfn.XLOOKUP(D679,products!$A$2:$A$49,products!$B$2:$B$49,0)</f>
        <v>Lib</v>
      </c>
      <c r="J679" t="str">
        <f>_xlfn.XLOOKUP(D679,products!$A$2:$A$49,products!$C$2:$C$49,0)</f>
        <v>M</v>
      </c>
      <c r="K679" s="4">
        <f>_xlfn.XLOOKUP(D679,products!$A$2:$A$49,products!$D$2:$D$49,0)</f>
        <v>0.5</v>
      </c>
      <c r="L679" s="5">
        <f>_xlfn.XLOOKUP(D679,products!$A$2:$A$49,products!$E$2:$E$49,0)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_xlfn.XLOOKUP(orders!C680,customers!$A$1:$A$1001,customers!$G$1:$G$1001,0)</f>
        <v>United States</v>
      </c>
      <c r="I680" t="str">
        <f>_xlfn.XLOOKUP(D680,products!$A$2:$A$49,products!$B$2:$B$49,0)</f>
        <v>Ara</v>
      </c>
      <c r="J680" t="str">
        <f>_xlfn.XLOOKUP(D680,products!$A$2:$A$49,products!$C$2:$C$49,0)</f>
        <v>L</v>
      </c>
      <c r="K680" s="4">
        <f>_xlfn.XLOOKUP(D680,products!$A$2:$A$49,products!$D$2:$D$49,0)</f>
        <v>2.5</v>
      </c>
      <c r="L680" s="5">
        <f>_xlfn.XLOOKUP(D680,products!$A$2:$A$49,products!$E$2:$E$49,0)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_xlfn.XLOOKUP(orders!C681,customers!$A$1:$A$1001,customers!$G$1:$G$1001,0)</f>
        <v>United Kingdom</v>
      </c>
      <c r="I681" t="str">
        <f>_xlfn.XLOOKUP(D681,products!$A$2:$A$49,products!$B$2:$B$49,0)</f>
        <v>Rob</v>
      </c>
      <c r="J681" t="str">
        <f>_xlfn.XLOOKUP(D681,products!$A$2:$A$49,products!$C$2:$C$49,0)</f>
        <v>L</v>
      </c>
      <c r="K681" s="4">
        <f>_xlfn.XLOOKUP(D681,products!$A$2:$A$49,products!$D$2:$D$49,0)</f>
        <v>2.5</v>
      </c>
      <c r="L681" s="5">
        <f>_xlfn.XLOOKUP(D681,products!$A$2:$A$49,products!$E$2:$E$49,0)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_xlfn.XLOOKUP(orders!C682,customers!$A$1:$A$1001,customers!$G$1:$G$1001,0)</f>
        <v>United States</v>
      </c>
      <c r="I682" t="str">
        <f>_xlfn.XLOOKUP(D682,products!$A$2:$A$49,products!$B$2:$B$49,0)</f>
        <v>Ara</v>
      </c>
      <c r="J682" t="str">
        <f>_xlfn.XLOOKUP(D682,products!$A$2:$A$49,products!$C$2:$C$49,0)</f>
        <v>M</v>
      </c>
      <c r="K682" s="4">
        <f>_xlfn.XLOOKUP(D682,products!$A$2:$A$49,products!$D$2:$D$49,0)</f>
        <v>1</v>
      </c>
      <c r="L682" s="5">
        <f>_xlfn.XLOOKUP(D682,products!$A$2:$A$49,products!$E$2:$E$49,0)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_xlfn.XLOOKUP(orders!C683,customers!$A$1:$A$1001,customers!$G$1:$G$1001,0)</f>
        <v>United Kingdom</v>
      </c>
      <c r="I683" t="str">
        <f>_xlfn.XLOOKUP(D683,products!$A$2:$A$49,products!$B$2:$B$49,0)</f>
        <v>Lib</v>
      </c>
      <c r="J683" t="str">
        <f>_xlfn.XLOOKUP(D683,products!$A$2:$A$49,products!$C$2:$C$49,0)</f>
        <v>L</v>
      </c>
      <c r="K683" s="4">
        <f>_xlfn.XLOOKUP(D683,products!$A$2:$A$49,products!$D$2:$D$49,0)</f>
        <v>0.2</v>
      </c>
      <c r="L683" s="5">
        <f>_xlfn.XLOOKUP(D683,products!$A$2:$A$49,products!$E$2:$E$49,0)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_xlfn.XLOOKUP(orders!C684,customers!$A$1:$A$1001,customers!$G$1:$G$1001,0)</f>
        <v>United States</v>
      </c>
      <c r="I684" t="str">
        <f>_xlfn.XLOOKUP(D684,products!$A$2:$A$49,products!$B$2:$B$49,0)</f>
        <v>Exc</v>
      </c>
      <c r="J684" t="str">
        <f>_xlfn.XLOOKUP(D684,products!$A$2:$A$49,products!$C$2:$C$49,0)</f>
        <v>M</v>
      </c>
      <c r="K684" s="4">
        <f>_xlfn.XLOOKUP(D684,products!$A$2:$A$49,products!$D$2:$D$49,0)</f>
        <v>0.2</v>
      </c>
      <c r="L684" s="5">
        <f>_xlfn.XLOOKUP(D684,products!$A$2:$A$49,products!$E$2:$E$49,0)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_xlfn.XLOOKUP(orders!C685,customers!$A$1:$A$1001,customers!$G$1:$G$1001,0)</f>
        <v>United States</v>
      </c>
      <c r="I685" t="str">
        <f>_xlfn.XLOOKUP(D685,products!$A$2:$A$49,products!$B$2:$B$49,0)</f>
        <v>Lib</v>
      </c>
      <c r="J685" t="str">
        <f>_xlfn.XLOOKUP(D685,products!$A$2:$A$49,products!$C$2:$C$49,0)</f>
        <v>D</v>
      </c>
      <c r="K685" s="4">
        <f>_xlfn.XLOOKUP(D685,products!$A$2:$A$49,products!$D$2:$D$49,0)</f>
        <v>0.5</v>
      </c>
      <c r="L685" s="5">
        <f>_xlfn.XLOOKUP(D685,products!$A$2:$A$49,products!$E$2:$E$49,0)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_xlfn.XLOOKUP(orders!C686,customers!$A$1:$A$1001,customers!$G$1:$G$1001,0)</f>
        <v>United States</v>
      </c>
      <c r="I686" t="str">
        <f>_xlfn.XLOOKUP(D686,products!$A$2:$A$49,products!$B$2:$B$49,0)</f>
        <v>Rob</v>
      </c>
      <c r="J686" t="str">
        <f>_xlfn.XLOOKUP(D686,products!$A$2:$A$49,products!$C$2:$C$49,0)</f>
        <v>L</v>
      </c>
      <c r="K686" s="4">
        <f>_xlfn.XLOOKUP(D686,products!$A$2:$A$49,products!$D$2:$D$49,0)</f>
        <v>1</v>
      </c>
      <c r="L686" s="5">
        <f>_xlfn.XLOOKUP(D686,products!$A$2:$A$49,products!$E$2:$E$49,0)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_xlfn.XLOOKUP(orders!C687,customers!$A$1:$A$1001,customers!$G$1:$G$1001,0)</f>
        <v>United States</v>
      </c>
      <c r="I687" t="str">
        <f>_xlfn.XLOOKUP(D687,products!$A$2:$A$49,products!$B$2:$B$49,0)</f>
        <v>Lib</v>
      </c>
      <c r="J687" t="str">
        <f>_xlfn.XLOOKUP(D687,products!$A$2:$A$49,products!$C$2:$C$49,0)</f>
        <v>L</v>
      </c>
      <c r="K687" s="4">
        <f>_xlfn.XLOOKUP(D687,products!$A$2:$A$49,products!$D$2:$D$49,0)</f>
        <v>2.5</v>
      </c>
      <c r="L687" s="5">
        <f>_xlfn.XLOOKUP(D687,products!$A$2:$A$49,products!$E$2:$E$49,0)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_xlfn.XLOOKUP(orders!C688,customers!$A$1:$A$1001,customers!$G$1:$G$1001,0)</f>
        <v>United States</v>
      </c>
      <c r="I688" t="str">
        <f>_xlfn.XLOOKUP(D688,products!$A$2:$A$49,products!$B$2:$B$49,0)</f>
        <v>Rob</v>
      </c>
      <c r="J688" t="str">
        <f>_xlfn.XLOOKUP(D688,products!$A$2:$A$49,products!$C$2:$C$49,0)</f>
        <v>D</v>
      </c>
      <c r="K688" s="4">
        <f>_xlfn.XLOOKUP(D688,products!$A$2:$A$49,products!$D$2:$D$49,0)</f>
        <v>0.2</v>
      </c>
      <c r="L688" s="5">
        <f>_xlfn.XLOOKUP(D688,products!$A$2:$A$49,products!$E$2:$E$49,0)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_xlfn.XLOOKUP(orders!C689,customers!$A$1:$A$1001,customers!$G$1:$G$1001,0)</f>
        <v>United States</v>
      </c>
      <c r="I689" t="str">
        <f>_xlfn.XLOOKUP(D689,products!$A$2:$A$49,products!$B$2:$B$49,0)</f>
        <v>Exc</v>
      </c>
      <c r="J689" t="str">
        <f>_xlfn.XLOOKUP(D689,products!$A$2:$A$49,products!$C$2:$C$49,0)</f>
        <v>M</v>
      </c>
      <c r="K689" s="4">
        <f>_xlfn.XLOOKUP(D689,products!$A$2:$A$49,products!$D$2:$D$49,0)</f>
        <v>0.5</v>
      </c>
      <c r="L689" s="5">
        <f>_xlfn.XLOOKUP(D689,products!$A$2:$A$49,products!$E$2:$E$49,0)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_xlfn.XLOOKUP(orders!C690,customers!$A$1:$A$1001,customers!$G$1:$G$1001,0)</f>
        <v>Ireland</v>
      </c>
      <c r="I690" t="str">
        <f>_xlfn.XLOOKUP(D690,products!$A$2:$A$49,products!$B$2:$B$49,0)</f>
        <v>Ara</v>
      </c>
      <c r="J690" t="str">
        <f>_xlfn.XLOOKUP(D690,products!$A$2:$A$49,products!$C$2:$C$49,0)</f>
        <v>L</v>
      </c>
      <c r="K690" s="4">
        <f>_xlfn.XLOOKUP(D690,products!$A$2:$A$49,products!$D$2:$D$49,0)</f>
        <v>1</v>
      </c>
      <c r="L690" s="5">
        <f>_xlfn.XLOOKUP(D690,products!$A$2:$A$49,products!$E$2:$E$49,0)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_xlfn.XLOOKUP(orders!C691,customers!$A$1:$A$1001,customers!$G$1:$G$1001,0)</f>
        <v>United States</v>
      </c>
      <c r="I691" t="str">
        <f>_xlfn.XLOOKUP(D691,products!$A$2:$A$49,products!$B$2:$B$49,0)</f>
        <v>Ara</v>
      </c>
      <c r="J691" t="str">
        <f>_xlfn.XLOOKUP(D691,products!$A$2:$A$49,products!$C$2:$C$49,0)</f>
        <v>M</v>
      </c>
      <c r="K691" s="4">
        <f>_xlfn.XLOOKUP(D691,products!$A$2:$A$49,products!$D$2:$D$49,0)</f>
        <v>0.5</v>
      </c>
      <c r="L691" s="5">
        <f>_xlfn.XLOOKUP(D691,products!$A$2:$A$49,products!$E$2:$E$49,0)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_xlfn.XLOOKUP(orders!C692,customers!$A$1:$A$1001,customers!$G$1:$G$1001,0)</f>
        <v>United States</v>
      </c>
      <c r="I692" t="str">
        <f>_xlfn.XLOOKUP(D692,products!$A$2:$A$49,products!$B$2:$B$49,0)</f>
        <v>Lib</v>
      </c>
      <c r="J692" t="str">
        <f>_xlfn.XLOOKUP(D692,products!$A$2:$A$49,products!$C$2:$C$49,0)</f>
        <v>D</v>
      </c>
      <c r="K692" s="4">
        <f>_xlfn.XLOOKUP(D692,products!$A$2:$A$49,products!$D$2:$D$49,0)</f>
        <v>2.5</v>
      </c>
      <c r="L692" s="5">
        <f>_xlfn.XLOOKUP(D692,products!$A$2:$A$49,products!$E$2:$E$49,0)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_xlfn.XLOOKUP(orders!C693,customers!$A$1:$A$1001,customers!$G$1:$G$1001,0)</f>
        <v>Ireland</v>
      </c>
      <c r="I693" t="str">
        <f>_xlfn.XLOOKUP(D693,products!$A$2:$A$49,products!$B$2:$B$49,0)</f>
        <v>Ara</v>
      </c>
      <c r="J693" t="str">
        <f>_xlfn.XLOOKUP(D693,products!$A$2:$A$49,products!$C$2:$C$49,0)</f>
        <v>M</v>
      </c>
      <c r="K693" s="4">
        <f>_xlfn.XLOOKUP(D693,products!$A$2:$A$49,products!$D$2:$D$49,0)</f>
        <v>1</v>
      </c>
      <c r="L693" s="5">
        <f>_xlfn.XLOOKUP(D693,products!$A$2:$A$49,products!$E$2:$E$49,0)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_xlfn.XLOOKUP(orders!C694,customers!$A$1:$A$1001,customers!$G$1:$G$1001,0)</f>
        <v>United States</v>
      </c>
      <c r="I694" t="str">
        <f>_xlfn.XLOOKUP(D694,products!$A$2:$A$49,products!$B$2:$B$49,0)</f>
        <v>Lib</v>
      </c>
      <c r="J694" t="str">
        <f>_xlfn.XLOOKUP(D694,products!$A$2:$A$49,products!$C$2:$C$49,0)</f>
        <v>D</v>
      </c>
      <c r="K694" s="4">
        <f>_xlfn.XLOOKUP(D694,products!$A$2:$A$49,products!$D$2:$D$49,0)</f>
        <v>1</v>
      </c>
      <c r="L694" s="5">
        <f>_xlfn.XLOOKUP(D694,products!$A$2:$A$49,products!$E$2:$E$49,0)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_xlfn.XLOOKUP(orders!C695,customers!$A$1:$A$1001,customers!$G$1:$G$1001,0)</f>
        <v>United States</v>
      </c>
      <c r="I695" t="str">
        <f>_xlfn.XLOOKUP(D695,products!$A$2:$A$49,products!$B$2:$B$49,0)</f>
        <v>Ara</v>
      </c>
      <c r="J695" t="str">
        <f>_xlfn.XLOOKUP(D695,products!$A$2:$A$49,products!$C$2:$C$49,0)</f>
        <v>M</v>
      </c>
      <c r="K695" s="4">
        <f>_xlfn.XLOOKUP(D695,products!$A$2:$A$49,products!$D$2:$D$49,0)</f>
        <v>2.5</v>
      </c>
      <c r="L695" s="5">
        <f>_xlfn.XLOOKUP(D695,products!$A$2:$A$49,products!$E$2:$E$49,0)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_xlfn.XLOOKUP(orders!C696,customers!$A$1:$A$1001,customers!$G$1:$G$1001,0)</f>
        <v>United States</v>
      </c>
      <c r="I696" t="str">
        <f>_xlfn.XLOOKUP(D696,products!$A$2:$A$49,products!$B$2:$B$49,0)</f>
        <v>Exc</v>
      </c>
      <c r="J696" t="str">
        <f>_xlfn.XLOOKUP(D696,products!$A$2:$A$49,products!$C$2:$C$49,0)</f>
        <v>D</v>
      </c>
      <c r="K696" s="4">
        <f>_xlfn.XLOOKUP(D696,products!$A$2:$A$49,products!$D$2:$D$49,0)</f>
        <v>0.5</v>
      </c>
      <c r="L696" s="5">
        <f>_xlfn.XLOOKUP(D696,products!$A$2:$A$49,products!$E$2:$E$49,0)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_xlfn.XLOOKUP(orders!C697,customers!$A$1:$A$1001,customers!$G$1:$G$1001,0)</f>
        <v>United States</v>
      </c>
      <c r="I697" t="str">
        <f>_xlfn.XLOOKUP(D697,products!$A$2:$A$49,products!$B$2:$B$49,0)</f>
        <v>Lib</v>
      </c>
      <c r="J697" t="str">
        <f>_xlfn.XLOOKUP(D697,products!$A$2:$A$49,products!$C$2:$C$49,0)</f>
        <v>L</v>
      </c>
      <c r="K697" s="4">
        <f>_xlfn.XLOOKUP(D697,products!$A$2:$A$49,products!$D$2:$D$49,0)</f>
        <v>2.5</v>
      </c>
      <c r="L697" s="5">
        <f>_xlfn.XLOOKUP(D697,products!$A$2:$A$49,products!$E$2:$E$49,0)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_xlfn.XLOOKUP(orders!C698,customers!$A$1:$A$1001,customers!$G$1:$G$1001,0)</f>
        <v>United States</v>
      </c>
      <c r="I698" t="str">
        <f>_xlfn.XLOOKUP(D698,products!$A$2:$A$49,products!$B$2:$B$49,0)</f>
        <v>Lib</v>
      </c>
      <c r="J698" t="str">
        <f>_xlfn.XLOOKUP(D698,products!$A$2:$A$49,products!$C$2:$C$49,0)</f>
        <v>D</v>
      </c>
      <c r="K698" s="4">
        <f>_xlfn.XLOOKUP(D698,products!$A$2:$A$49,products!$D$2:$D$49,0)</f>
        <v>0.5</v>
      </c>
      <c r="L698" s="5">
        <f>_xlfn.XLOOKUP(D698,products!$A$2:$A$49,products!$E$2:$E$49,0)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_xlfn.XLOOKUP(orders!C699,customers!$A$1:$A$1001,customers!$G$1:$G$1001,0)</f>
        <v>Ireland</v>
      </c>
      <c r="I699" t="str">
        <f>_xlfn.XLOOKUP(D699,products!$A$2:$A$49,products!$B$2:$B$49,0)</f>
        <v>Ara</v>
      </c>
      <c r="J699" t="str">
        <f>_xlfn.XLOOKUP(D699,products!$A$2:$A$49,products!$C$2:$C$49,0)</f>
        <v>M</v>
      </c>
      <c r="K699" s="4">
        <f>_xlfn.XLOOKUP(D699,products!$A$2:$A$49,products!$D$2:$D$49,0)</f>
        <v>0.5</v>
      </c>
      <c r="L699" s="5">
        <f>_xlfn.XLOOKUP(D699,products!$A$2:$A$49,products!$E$2:$E$49,0)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_xlfn.XLOOKUP(orders!C700,customers!$A$1:$A$1001,customers!$G$1:$G$1001,0)</f>
        <v>Ireland</v>
      </c>
      <c r="I700" t="str">
        <f>_xlfn.XLOOKUP(D700,products!$A$2:$A$49,products!$B$2:$B$49,0)</f>
        <v>Lib</v>
      </c>
      <c r="J700" t="str">
        <f>_xlfn.XLOOKUP(D700,products!$A$2:$A$49,products!$C$2:$C$49,0)</f>
        <v>D</v>
      </c>
      <c r="K700" s="4">
        <f>_xlfn.XLOOKUP(D700,products!$A$2:$A$49,products!$D$2:$D$49,0)</f>
        <v>1</v>
      </c>
      <c r="L700" s="5">
        <f>_xlfn.XLOOKUP(D700,products!$A$2:$A$49,products!$E$2:$E$49,0)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_xlfn.XLOOKUP(orders!C701,customers!$A$1:$A$1001,customers!$G$1:$G$1001,0)</f>
        <v>United States</v>
      </c>
      <c r="I701" t="str">
        <f>_xlfn.XLOOKUP(D701,products!$A$2:$A$49,products!$B$2:$B$49,0)</f>
        <v>Ara</v>
      </c>
      <c r="J701" t="str">
        <f>_xlfn.XLOOKUP(D701,products!$A$2:$A$49,products!$C$2:$C$49,0)</f>
        <v>D</v>
      </c>
      <c r="K701" s="4">
        <f>_xlfn.XLOOKUP(D701,products!$A$2:$A$49,products!$D$2:$D$49,0)</f>
        <v>0.5</v>
      </c>
      <c r="L701" s="5">
        <f>_xlfn.XLOOKUP(D701,products!$A$2:$A$49,products!$E$2:$E$49,0)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_xlfn.XLOOKUP(orders!C702,customers!$A$1:$A$1001,customers!$G$1:$G$1001,0)</f>
        <v>United States</v>
      </c>
      <c r="I702" t="str">
        <f>_xlfn.XLOOKUP(D702,products!$A$2:$A$49,products!$B$2:$B$49,0)</f>
        <v>Lib</v>
      </c>
      <c r="J702" t="str">
        <f>_xlfn.XLOOKUP(D702,products!$A$2:$A$49,products!$C$2:$C$49,0)</f>
        <v>L</v>
      </c>
      <c r="K702" s="4">
        <f>_xlfn.XLOOKUP(D702,products!$A$2:$A$49,products!$D$2:$D$49,0)</f>
        <v>0.5</v>
      </c>
      <c r="L702" s="5">
        <f>_xlfn.XLOOKUP(D702,products!$A$2:$A$49,products!$E$2:$E$49,0)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_xlfn.XLOOKUP(orders!C703,customers!$A$1:$A$1001,customers!$G$1:$G$1001,0)</f>
        <v>Ireland</v>
      </c>
      <c r="I703" t="str">
        <f>_xlfn.XLOOKUP(D703,products!$A$2:$A$49,products!$B$2:$B$49,0)</f>
        <v>Ara</v>
      </c>
      <c r="J703" t="str">
        <f>_xlfn.XLOOKUP(D703,products!$A$2:$A$49,products!$C$2:$C$49,0)</f>
        <v>D</v>
      </c>
      <c r="K703" s="4">
        <f>_xlfn.XLOOKUP(D703,products!$A$2:$A$49,products!$D$2:$D$49,0)</f>
        <v>0.5</v>
      </c>
      <c r="L703" s="5">
        <f>_xlfn.XLOOKUP(D703,products!$A$2:$A$49,products!$E$2:$E$49,0)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_xlfn.XLOOKUP(orders!C704,customers!$A$1:$A$1001,customers!$G$1:$G$1001,0)</f>
        <v>United States</v>
      </c>
      <c r="I704" t="str">
        <f>_xlfn.XLOOKUP(D704,products!$A$2:$A$49,products!$B$2:$B$49,0)</f>
        <v>Ara</v>
      </c>
      <c r="J704" t="str">
        <f>_xlfn.XLOOKUP(D704,products!$A$2:$A$49,products!$C$2:$C$49,0)</f>
        <v>L</v>
      </c>
      <c r="K704" s="4">
        <f>_xlfn.XLOOKUP(D704,products!$A$2:$A$49,products!$D$2:$D$49,0)</f>
        <v>0.5</v>
      </c>
      <c r="L704" s="5">
        <f>_xlfn.XLOOKUP(D704,products!$A$2:$A$49,products!$E$2:$E$49,0)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_xlfn.XLOOKUP(orders!C705,customers!$A$1:$A$1001,customers!$G$1:$G$1001,0)</f>
        <v>Ireland</v>
      </c>
      <c r="I705" t="str">
        <f>_xlfn.XLOOKUP(D705,products!$A$2:$A$49,products!$B$2:$B$49,0)</f>
        <v>Lib</v>
      </c>
      <c r="J705" t="str">
        <f>_xlfn.XLOOKUP(D705,products!$A$2:$A$49,products!$C$2:$C$49,0)</f>
        <v>D</v>
      </c>
      <c r="K705" s="4">
        <f>_xlfn.XLOOKUP(D705,products!$A$2:$A$49,products!$D$2:$D$49,0)</f>
        <v>2.5</v>
      </c>
      <c r="L705" s="5">
        <f>_xlfn.XLOOKUP(D705,products!$A$2:$A$49,products!$E$2:$E$49,0)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_xlfn.XLOOKUP(orders!C706,customers!$A$1:$A$1001,customers!$G$1:$G$1001,0)</f>
        <v>United States</v>
      </c>
      <c r="I706" t="str">
        <f>_xlfn.XLOOKUP(D706,products!$A$2:$A$49,products!$B$2:$B$49,0)</f>
        <v>Exc</v>
      </c>
      <c r="J706" t="str">
        <f>_xlfn.XLOOKUP(D706,products!$A$2:$A$49,products!$C$2:$C$49,0)</f>
        <v>D</v>
      </c>
      <c r="K706" s="4">
        <f>_xlfn.XLOOKUP(D706,products!$A$2:$A$49,products!$D$2:$D$49,0)</f>
        <v>0.2</v>
      </c>
      <c r="L706" s="5">
        <f>_xlfn.XLOOKUP(D706,products!$A$2:$A$49,products!$E$2:$E$49,0)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_xlfn.XLOOKUP(orders!C707,customers!$A$1:$A$1001,customers!$G$1:$G$1001,0)</f>
        <v>United States</v>
      </c>
      <c r="I707" t="str">
        <f>_xlfn.XLOOKUP(D707,products!$A$2:$A$49,products!$B$2:$B$49,0)</f>
        <v>Exc</v>
      </c>
      <c r="J707" t="str">
        <f>_xlfn.XLOOKUP(D707,products!$A$2:$A$49,products!$C$2:$C$49,0)</f>
        <v>L</v>
      </c>
      <c r="K707" s="4">
        <f>_xlfn.XLOOKUP(D707,products!$A$2:$A$49,products!$D$2:$D$49,0)</f>
        <v>0.5</v>
      </c>
      <c r="L707" s="5">
        <f>_xlfn.XLOOKUP(D707,products!$A$2:$A$49,products!$E$2:$E$49,0)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_xlfn.XLOOKUP(orders!C708,customers!$A$1:$A$1001,customers!$G$1:$G$1001,0)</f>
        <v>United States</v>
      </c>
      <c r="I708" t="str">
        <f>_xlfn.XLOOKUP(D708,products!$A$2:$A$49,products!$B$2:$B$49,0)</f>
        <v>Exc</v>
      </c>
      <c r="J708" t="str">
        <f>_xlfn.XLOOKUP(D708,products!$A$2:$A$49,products!$C$2:$C$49,0)</f>
        <v>M</v>
      </c>
      <c r="K708" s="4">
        <f>_xlfn.XLOOKUP(D708,products!$A$2:$A$49,products!$D$2:$D$49,0)</f>
        <v>0.2</v>
      </c>
      <c r="L708" s="5">
        <f>_xlfn.XLOOKUP(D708,products!$A$2:$A$49,products!$E$2:$E$49,0)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_xlfn.XLOOKUP(orders!C709,customers!$A$1:$A$1001,customers!$G$1:$G$1001,0)</f>
        <v>Ireland</v>
      </c>
      <c r="I709" t="str">
        <f>_xlfn.XLOOKUP(D709,products!$A$2:$A$49,products!$B$2:$B$49,0)</f>
        <v>Lib</v>
      </c>
      <c r="J709" t="str">
        <f>_xlfn.XLOOKUP(D709,products!$A$2:$A$49,products!$C$2:$C$49,0)</f>
        <v>D</v>
      </c>
      <c r="K709" s="4">
        <f>_xlfn.XLOOKUP(D709,products!$A$2:$A$49,products!$D$2:$D$49,0)</f>
        <v>1</v>
      </c>
      <c r="L709" s="5">
        <f>_xlfn.XLOOKUP(D709,products!$A$2:$A$49,products!$E$2:$E$49,0)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_xlfn.XLOOKUP(orders!C710,customers!$A$1:$A$1001,customers!$G$1:$G$1001,0)</f>
        <v>United States</v>
      </c>
      <c r="I710" t="str">
        <f>_xlfn.XLOOKUP(D710,products!$A$2:$A$49,products!$B$2:$B$49,0)</f>
        <v>Ara</v>
      </c>
      <c r="J710" t="str">
        <f>_xlfn.XLOOKUP(D710,products!$A$2:$A$49,products!$C$2:$C$49,0)</f>
        <v>M</v>
      </c>
      <c r="K710" s="4">
        <f>_xlfn.XLOOKUP(D710,products!$A$2:$A$49,products!$D$2:$D$49,0)</f>
        <v>0.5</v>
      </c>
      <c r="L710" s="5">
        <f>_xlfn.XLOOKUP(D710,products!$A$2:$A$49,products!$E$2:$E$49,0)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_xlfn.XLOOKUP(orders!C711,customers!$A$1:$A$1001,customers!$G$1:$G$1001,0)</f>
        <v>United States</v>
      </c>
      <c r="I711" t="str">
        <f>_xlfn.XLOOKUP(D711,products!$A$2:$A$49,products!$B$2:$B$49,0)</f>
        <v>Exc</v>
      </c>
      <c r="J711" t="str">
        <f>_xlfn.XLOOKUP(D711,products!$A$2:$A$49,products!$C$2:$C$49,0)</f>
        <v>L</v>
      </c>
      <c r="K711" s="4">
        <f>_xlfn.XLOOKUP(D711,products!$A$2:$A$49,products!$D$2:$D$49,0)</f>
        <v>0.5</v>
      </c>
      <c r="L711" s="5">
        <f>_xlfn.XLOOKUP(D711,products!$A$2:$A$49,products!$E$2:$E$49,0)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_xlfn.XLOOKUP(orders!C712,customers!$A$1:$A$1001,customers!$G$1:$G$1001,0)</f>
        <v>United States</v>
      </c>
      <c r="I712" t="str">
        <f>_xlfn.XLOOKUP(D712,products!$A$2:$A$49,products!$B$2:$B$49,0)</f>
        <v>Exc</v>
      </c>
      <c r="J712" t="str">
        <f>_xlfn.XLOOKUP(D712,products!$A$2:$A$49,products!$C$2:$C$49,0)</f>
        <v>M</v>
      </c>
      <c r="K712" s="4">
        <f>_xlfn.XLOOKUP(D712,products!$A$2:$A$49,products!$D$2:$D$49,0)</f>
        <v>0.5</v>
      </c>
      <c r="L712" s="5">
        <f>_xlfn.XLOOKUP(D712,products!$A$2:$A$49,products!$E$2:$E$49,0)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_xlfn.XLOOKUP(orders!C713,customers!$A$1:$A$1001,customers!$G$1:$G$1001,0)</f>
        <v>United States</v>
      </c>
      <c r="I713" t="str">
        <f>_xlfn.XLOOKUP(D713,products!$A$2:$A$49,products!$B$2:$B$49,0)</f>
        <v>Rob</v>
      </c>
      <c r="J713" t="str">
        <f>_xlfn.XLOOKUP(D713,products!$A$2:$A$49,products!$C$2:$C$49,0)</f>
        <v>M</v>
      </c>
      <c r="K713" s="4">
        <f>_xlfn.XLOOKUP(D713,products!$A$2:$A$49,products!$D$2:$D$49,0)</f>
        <v>0.2</v>
      </c>
      <c r="L713" s="5">
        <f>_xlfn.XLOOKUP(D713,products!$A$2:$A$49,products!$E$2:$E$49,0)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_xlfn.XLOOKUP(orders!C714,customers!$A$1:$A$1001,customers!$G$1:$G$1001,0)</f>
        <v>United Kingdom</v>
      </c>
      <c r="I714" t="str">
        <f>_xlfn.XLOOKUP(D714,products!$A$2:$A$49,products!$B$2:$B$49,0)</f>
        <v>Exc</v>
      </c>
      <c r="J714" t="str">
        <f>_xlfn.XLOOKUP(D714,products!$A$2:$A$49,products!$C$2:$C$49,0)</f>
        <v>M</v>
      </c>
      <c r="K714" s="4">
        <f>_xlfn.XLOOKUP(D714,products!$A$2:$A$49,products!$D$2:$D$49,0)</f>
        <v>0.5</v>
      </c>
      <c r="L714" s="5">
        <f>_xlfn.XLOOKUP(D714,products!$A$2:$A$49,products!$E$2:$E$49,0)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_xlfn.XLOOKUP(orders!C715,customers!$A$1:$A$1001,customers!$G$1:$G$1001,0)</f>
        <v>United States</v>
      </c>
      <c r="I715" t="str">
        <f>_xlfn.XLOOKUP(D715,products!$A$2:$A$49,products!$B$2:$B$49,0)</f>
        <v>Rob</v>
      </c>
      <c r="J715" t="str">
        <f>_xlfn.XLOOKUP(D715,products!$A$2:$A$49,products!$C$2:$C$49,0)</f>
        <v>M</v>
      </c>
      <c r="K715" s="4">
        <f>_xlfn.XLOOKUP(D715,products!$A$2:$A$49,products!$D$2:$D$49,0)</f>
        <v>0.2</v>
      </c>
      <c r="L715" s="5">
        <f>_xlfn.XLOOKUP(D715,products!$A$2:$A$49,products!$E$2:$E$49,0)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_xlfn.XLOOKUP(orders!C716,customers!$A$1:$A$1001,customers!$G$1:$G$1001,0)</f>
        <v>Ireland</v>
      </c>
      <c r="I716" t="str">
        <f>_xlfn.XLOOKUP(D716,products!$A$2:$A$49,products!$B$2:$B$49,0)</f>
        <v>Exc</v>
      </c>
      <c r="J716" t="str">
        <f>_xlfn.XLOOKUP(D716,products!$A$2:$A$49,products!$C$2:$C$49,0)</f>
        <v>D</v>
      </c>
      <c r="K716" s="4">
        <f>_xlfn.XLOOKUP(D716,products!$A$2:$A$49,products!$D$2:$D$49,0)</f>
        <v>0.2</v>
      </c>
      <c r="L716" s="5">
        <f>_xlfn.XLOOKUP(D716,products!$A$2:$A$49,products!$E$2:$E$49,0)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_xlfn.XLOOKUP(orders!C717,customers!$A$1:$A$1001,customers!$G$1:$G$1001,0)</f>
        <v>United States</v>
      </c>
      <c r="I717" t="str">
        <f>_xlfn.XLOOKUP(D717,products!$A$2:$A$49,products!$B$2:$B$49,0)</f>
        <v>Exc</v>
      </c>
      <c r="J717" t="str">
        <f>_xlfn.XLOOKUP(D717,products!$A$2:$A$49,products!$C$2:$C$49,0)</f>
        <v>L</v>
      </c>
      <c r="K717" s="4">
        <f>_xlfn.XLOOKUP(D717,products!$A$2:$A$49,products!$D$2:$D$49,0)</f>
        <v>1</v>
      </c>
      <c r="L717" s="5">
        <f>_xlfn.XLOOKUP(D717,products!$A$2:$A$49,products!$E$2:$E$49,0)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_xlfn.XLOOKUP(orders!C718,customers!$A$1:$A$1001,customers!$G$1:$G$1001,0)</f>
        <v>Ireland</v>
      </c>
      <c r="I718" t="str">
        <f>_xlfn.XLOOKUP(D718,products!$A$2:$A$49,products!$B$2:$B$49,0)</f>
        <v>Rob</v>
      </c>
      <c r="J718" t="str">
        <f>_xlfn.XLOOKUP(D718,products!$A$2:$A$49,products!$C$2:$C$49,0)</f>
        <v>L</v>
      </c>
      <c r="K718" s="4">
        <f>_xlfn.XLOOKUP(D718,products!$A$2:$A$49,products!$D$2:$D$49,0)</f>
        <v>1</v>
      </c>
      <c r="L718" s="5">
        <f>_xlfn.XLOOKUP(D718,products!$A$2:$A$49,products!$E$2:$E$49,0)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_xlfn.XLOOKUP(orders!C719,customers!$A$1:$A$1001,customers!$G$1:$G$1001,0)</f>
        <v>United States</v>
      </c>
      <c r="I719" t="str">
        <f>_xlfn.XLOOKUP(D719,products!$A$2:$A$49,products!$B$2:$B$49,0)</f>
        <v>Ara</v>
      </c>
      <c r="J719" t="str">
        <f>_xlfn.XLOOKUP(D719,products!$A$2:$A$49,products!$C$2:$C$49,0)</f>
        <v>D</v>
      </c>
      <c r="K719" s="4">
        <f>_xlfn.XLOOKUP(D719,products!$A$2:$A$49,products!$D$2:$D$49,0)</f>
        <v>2.5</v>
      </c>
      <c r="L719" s="5">
        <f>_xlfn.XLOOKUP(D719,products!$A$2:$A$49,products!$E$2:$E$49,0)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_xlfn.XLOOKUP(orders!C720,customers!$A$1:$A$1001,customers!$G$1:$G$1001,0)</f>
        <v>United States</v>
      </c>
      <c r="I720" t="str">
        <f>_xlfn.XLOOKUP(D720,products!$A$2:$A$49,products!$B$2:$B$49,0)</f>
        <v>Lib</v>
      </c>
      <c r="J720" t="str">
        <f>_xlfn.XLOOKUP(D720,products!$A$2:$A$49,products!$C$2:$C$49,0)</f>
        <v>D</v>
      </c>
      <c r="K720" s="4">
        <f>_xlfn.XLOOKUP(D720,products!$A$2:$A$49,products!$D$2:$D$49,0)</f>
        <v>1</v>
      </c>
      <c r="L720" s="5">
        <f>_xlfn.XLOOKUP(D720,products!$A$2:$A$49,products!$E$2:$E$49,0)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_xlfn.XLOOKUP(orders!C721,customers!$A$1:$A$1001,customers!$G$1:$G$1001,0)</f>
        <v>United States</v>
      </c>
      <c r="I721" t="str">
        <f>_xlfn.XLOOKUP(D721,products!$A$2:$A$49,products!$B$2:$B$49,0)</f>
        <v>Lib</v>
      </c>
      <c r="J721" t="str">
        <f>_xlfn.XLOOKUP(D721,products!$A$2:$A$49,products!$C$2:$C$49,0)</f>
        <v>L</v>
      </c>
      <c r="K721" s="4">
        <f>_xlfn.XLOOKUP(D721,products!$A$2:$A$49,products!$D$2:$D$49,0)</f>
        <v>1</v>
      </c>
      <c r="L721" s="5">
        <f>_xlfn.XLOOKUP(D721,products!$A$2:$A$49,products!$E$2:$E$49,0)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_xlfn.XLOOKUP(orders!C722,customers!$A$1:$A$1001,customers!$G$1:$G$1001,0)</f>
        <v>United States</v>
      </c>
      <c r="I722" t="str">
        <f>_xlfn.XLOOKUP(D722,products!$A$2:$A$49,products!$B$2:$B$49,0)</f>
        <v>Exc</v>
      </c>
      <c r="J722" t="str">
        <f>_xlfn.XLOOKUP(D722,products!$A$2:$A$49,products!$C$2:$C$49,0)</f>
        <v>D</v>
      </c>
      <c r="K722" s="4">
        <f>_xlfn.XLOOKUP(D722,products!$A$2:$A$49,products!$D$2:$D$49,0)</f>
        <v>0.5</v>
      </c>
      <c r="L722" s="5">
        <f>_xlfn.XLOOKUP(D722,products!$A$2:$A$49,products!$E$2:$E$49,0)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_xlfn.XLOOKUP(orders!C723,customers!$A$1:$A$1001,customers!$G$1:$G$1001,0)</f>
        <v>United States</v>
      </c>
      <c r="I723" t="str">
        <f>_xlfn.XLOOKUP(D723,products!$A$2:$A$49,products!$B$2:$B$49,0)</f>
        <v>Rob</v>
      </c>
      <c r="J723" t="str">
        <f>_xlfn.XLOOKUP(D723,products!$A$2:$A$49,products!$C$2:$C$49,0)</f>
        <v>M</v>
      </c>
      <c r="K723" s="4">
        <f>_xlfn.XLOOKUP(D723,products!$A$2:$A$49,products!$D$2:$D$49,0)</f>
        <v>0.2</v>
      </c>
      <c r="L723" s="5">
        <f>_xlfn.XLOOKUP(D723,products!$A$2:$A$49,products!$E$2:$E$49,0)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_xlfn.XLOOKUP(orders!C724,customers!$A$1:$A$1001,customers!$G$1:$G$1001,0)</f>
        <v>United States</v>
      </c>
      <c r="I724" t="str">
        <f>_xlfn.XLOOKUP(D724,products!$A$2:$A$49,products!$B$2:$B$49,0)</f>
        <v>Exc</v>
      </c>
      <c r="J724" t="str">
        <f>_xlfn.XLOOKUP(D724,products!$A$2:$A$49,products!$C$2:$C$49,0)</f>
        <v>D</v>
      </c>
      <c r="K724" s="4">
        <f>_xlfn.XLOOKUP(D724,products!$A$2:$A$49,products!$D$2:$D$49,0)</f>
        <v>1</v>
      </c>
      <c r="L724" s="5">
        <f>_xlfn.XLOOKUP(D724,products!$A$2:$A$49,products!$E$2:$E$49,0)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_xlfn.XLOOKUP(orders!C725,customers!$A$1:$A$1001,customers!$G$1:$G$1001,0)</f>
        <v>United States</v>
      </c>
      <c r="I725" t="str">
        <f>_xlfn.XLOOKUP(D725,products!$A$2:$A$49,products!$B$2:$B$49,0)</f>
        <v>Exc</v>
      </c>
      <c r="J725" t="str">
        <f>_xlfn.XLOOKUP(D725,products!$A$2:$A$49,products!$C$2:$C$49,0)</f>
        <v>M</v>
      </c>
      <c r="K725" s="4">
        <f>_xlfn.XLOOKUP(D725,products!$A$2:$A$49,products!$D$2:$D$49,0)</f>
        <v>2.5</v>
      </c>
      <c r="L725" s="5">
        <f>_xlfn.XLOOKUP(D725,products!$A$2:$A$49,products!$E$2:$E$49,0)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_xlfn.XLOOKUP(orders!C726,customers!$A$1:$A$1001,customers!$G$1:$G$1001,0)</f>
        <v>United States</v>
      </c>
      <c r="I726" t="str">
        <f>_xlfn.XLOOKUP(D726,products!$A$2:$A$49,products!$B$2:$B$49,0)</f>
        <v>Ara</v>
      </c>
      <c r="J726" t="str">
        <f>_xlfn.XLOOKUP(D726,products!$A$2:$A$49,products!$C$2:$C$49,0)</f>
        <v>M</v>
      </c>
      <c r="K726" s="4">
        <f>_xlfn.XLOOKUP(D726,products!$A$2:$A$49,products!$D$2:$D$49,0)</f>
        <v>0.2</v>
      </c>
      <c r="L726" s="5">
        <f>_xlfn.XLOOKUP(D726,products!$A$2:$A$49,products!$E$2:$E$49,0)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_xlfn.XLOOKUP(orders!C727,customers!$A$1:$A$1001,customers!$G$1:$G$1001,0)</f>
        <v>United States</v>
      </c>
      <c r="I727" t="str">
        <f>_xlfn.XLOOKUP(D727,products!$A$2:$A$49,products!$B$2:$B$49,0)</f>
        <v>Ara</v>
      </c>
      <c r="J727" t="str">
        <f>_xlfn.XLOOKUP(D727,products!$A$2:$A$49,products!$C$2:$C$49,0)</f>
        <v>L</v>
      </c>
      <c r="K727" s="4">
        <f>_xlfn.XLOOKUP(D727,products!$A$2:$A$49,products!$D$2:$D$49,0)</f>
        <v>0.2</v>
      </c>
      <c r="L727" s="5">
        <f>_xlfn.XLOOKUP(D727,products!$A$2:$A$49,products!$E$2:$E$49,0)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_xlfn.XLOOKUP(orders!C728,customers!$A$1:$A$1001,customers!$G$1:$G$1001,0)</f>
        <v>United States</v>
      </c>
      <c r="I728" t="str">
        <f>_xlfn.XLOOKUP(D728,products!$A$2:$A$49,products!$B$2:$B$49,0)</f>
        <v>Lib</v>
      </c>
      <c r="J728" t="str">
        <f>_xlfn.XLOOKUP(D728,products!$A$2:$A$49,products!$C$2:$C$49,0)</f>
        <v>L</v>
      </c>
      <c r="K728" s="4">
        <f>_xlfn.XLOOKUP(D728,products!$A$2:$A$49,products!$D$2:$D$49,0)</f>
        <v>2.5</v>
      </c>
      <c r="L728" s="5">
        <f>_xlfn.XLOOKUP(D728,products!$A$2:$A$49,products!$E$2:$E$49,0)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_xlfn.XLOOKUP(orders!C729,customers!$A$1:$A$1001,customers!$G$1:$G$1001,0)</f>
        <v>Ireland</v>
      </c>
      <c r="I729" t="str">
        <f>_xlfn.XLOOKUP(D729,products!$A$2:$A$49,products!$B$2:$B$49,0)</f>
        <v>Rob</v>
      </c>
      <c r="J729" t="str">
        <f>_xlfn.XLOOKUP(D729,products!$A$2:$A$49,products!$C$2:$C$49,0)</f>
        <v>M</v>
      </c>
      <c r="K729" s="4">
        <f>_xlfn.XLOOKUP(D729,products!$A$2:$A$49,products!$D$2:$D$49,0)</f>
        <v>0.5</v>
      </c>
      <c r="L729" s="5">
        <f>_xlfn.XLOOKUP(D729,products!$A$2:$A$49,products!$E$2:$E$49,0)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_xlfn.XLOOKUP(orders!C730,customers!$A$1:$A$1001,customers!$G$1:$G$1001,0)</f>
        <v>United States</v>
      </c>
      <c r="I730" t="str">
        <f>_xlfn.XLOOKUP(D730,products!$A$2:$A$49,products!$B$2:$B$49,0)</f>
        <v>Exc</v>
      </c>
      <c r="J730" t="str">
        <f>_xlfn.XLOOKUP(D730,products!$A$2:$A$49,products!$C$2:$C$49,0)</f>
        <v>D</v>
      </c>
      <c r="K730" s="4">
        <f>_xlfn.XLOOKUP(D730,products!$A$2:$A$49,products!$D$2:$D$49,0)</f>
        <v>0.5</v>
      </c>
      <c r="L730" s="5">
        <f>_xlfn.XLOOKUP(D730,products!$A$2:$A$49,products!$E$2:$E$49,0)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_xlfn.XLOOKUP(orders!C731,customers!$A$1:$A$1001,customers!$G$1:$G$1001,0)</f>
        <v>United Kingdom</v>
      </c>
      <c r="I731" t="str">
        <f>_xlfn.XLOOKUP(D731,products!$A$2:$A$49,products!$B$2:$B$49,0)</f>
        <v>Lib</v>
      </c>
      <c r="J731" t="str">
        <f>_xlfn.XLOOKUP(D731,products!$A$2:$A$49,products!$C$2:$C$49,0)</f>
        <v>M</v>
      </c>
      <c r="K731" s="4">
        <f>_xlfn.XLOOKUP(D731,products!$A$2:$A$49,products!$D$2:$D$49,0)</f>
        <v>0.2</v>
      </c>
      <c r="L731" s="5">
        <f>_xlfn.XLOOKUP(D731,products!$A$2:$A$49,products!$E$2:$E$49,0)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_xlfn.XLOOKUP(orders!C732,customers!$A$1:$A$1001,customers!$G$1:$G$1001,0)</f>
        <v>United States</v>
      </c>
      <c r="I732" t="str">
        <f>_xlfn.XLOOKUP(D732,products!$A$2:$A$49,products!$B$2:$B$49,0)</f>
        <v>Lib</v>
      </c>
      <c r="J732" t="str">
        <f>_xlfn.XLOOKUP(D732,products!$A$2:$A$49,products!$C$2:$C$49,0)</f>
        <v>L</v>
      </c>
      <c r="K732" s="4">
        <f>_xlfn.XLOOKUP(D732,products!$A$2:$A$49,products!$D$2:$D$49,0)</f>
        <v>2.5</v>
      </c>
      <c r="L732" s="5">
        <f>_xlfn.XLOOKUP(D732,products!$A$2:$A$49,products!$E$2:$E$49,0)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_xlfn.XLOOKUP(orders!C733,customers!$A$1:$A$1001,customers!$G$1:$G$1001,0)</f>
        <v>United States</v>
      </c>
      <c r="I733" t="str">
        <f>_xlfn.XLOOKUP(D733,products!$A$2:$A$49,products!$B$2:$B$49,0)</f>
        <v>Lib</v>
      </c>
      <c r="J733" t="str">
        <f>_xlfn.XLOOKUP(D733,products!$A$2:$A$49,products!$C$2:$C$49,0)</f>
        <v>D</v>
      </c>
      <c r="K733" s="4">
        <f>_xlfn.XLOOKUP(D733,products!$A$2:$A$49,products!$D$2:$D$49,0)</f>
        <v>0.2</v>
      </c>
      <c r="L733" s="5">
        <f>_xlfn.XLOOKUP(D733,products!$A$2:$A$49,products!$E$2:$E$49,0)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_xlfn.XLOOKUP(orders!C734,customers!$A$1:$A$1001,customers!$G$1:$G$1001,0)</f>
        <v>United States</v>
      </c>
      <c r="I734" t="str">
        <f>_xlfn.XLOOKUP(D734,products!$A$2:$A$49,products!$B$2:$B$49,0)</f>
        <v>Exc</v>
      </c>
      <c r="J734" t="str">
        <f>_xlfn.XLOOKUP(D734,products!$A$2:$A$49,products!$C$2:$C$49,0)</f>
        <v>L</v>
      </c>
      <c r="K734" s="4">
        <f>_xlfn.XLOOKUP(D734,products!$A$2:$A$49,products!$D$2:$D$49,0)</f>
        <v>0.2</v>
      </c>
      <c r="L734" s="5">
        <f>_xlfn.XLOOKUP(D734,products!$A$2:$A$49,products!$E$2:$E$49,0)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_xlfn.XLOOKUP(orders!C735,customers!$A$1:$A$1001,customers!$G$1:$G$1001,0)</f>
        <v>United States</v>
      </c>
      <c r="I735" t="str">
        <f>_xlfn.XLOOKUP(D735,products!$A$2:$A$49,products!$B$2:$B$49,0)</f>
        <v>Lib</v>
      </c>
      <c r="J735" t="str">
        <f>_xlfn.XLOOKUP(D735,products!$A$2:$A$49,products!$C$2:$C$49,0)</f>
        <v>M</v>
      </c>
      <c r="K735" s="4">
        <f>_xlfn.XLOOKUP(D735,products!$A$2:$A$49,products!$D$2:$D$49,0)</f>
        <v>2.5</v>
      </c>
      <c r="L735" s="5">
        <f>_xlfn.XLOOKUP(D735,products!$A$2:$A$49,products!$E$2:$E$49,0)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_xlfn.XLOOKUP(orders!C736,customers!$A$1:$A$1001,customers!$G$1:$G$1001,0)</f>
        <v>United States</v>
      </c>
      <c r="I736" t="str">
        <f>_xlfn.XLOOKUP(D736,products!$A$2:$A$49,products!$B$2:$B$49,0)</f>
        <v>Rob</v>
      </c>
      <c r="J736" t="str">
        <f>_xlfn.XLOOKUP(D736,products!$A$2:$A$49,products!$C$2:$C$49,0)</f>
        <v>D</v>
      </c>
      <c r="K736" s="4">
        <f>_xlfn.XLOOKUP(D736,products!$A$2:$A$49,products!$D$2:$D$49,0)</f>
        <v>0.2</v>
      </c>
      <c r="L736" s="5">
        <f>_xlfn.XLOOKUP(D736,products!$A$2:$A$49,products!$E$2:$E$49,0)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_xlfn.XLOOKUP(orders!C737,customers!$A$1:$A$1001,customers!$G$1:$G$1001,0)</f>
        <v>United States</v>
      </c>
      <c r="I737" t="str">
        <f>_xlfn.XLOOKUP(D737,products!$A$2:$A$49,products!$B$2:$B$49,0)</f>
        <v>Exc</v>
      </c>
      <c r="J737" t="str">
        <f>_xlfn.XLOOKUP(D737,products!$A$2:$A$49,products!$C$2:$C$49,0)</f>
        <v>D</v>
      </c>
      <c r="K737" s="4">
        <f>_xlfn.XLOOKUP(D737,products!$A$2:$A$49,products!$D$2:$D$49,0)</f>
        <v>0.2</v>
      </c>
      <c r="L737" s="5">
        <f>_xlfn.XLOOKUP(D737,products!$A$2:$A$49,products!$E$2:$E$49,0)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_xlfn.XLOOKUP(orders!C738,customers!$A$1:$A$1001,customers!$G$1:$G$1001,0)</f>
        <v>Ireland</v>
      </c>
      <c r="I738" t="str">
        <f>_xlfn.XLOOKUP(D738,products!$A$2:$A$49,products!$B$2:$B$49,0)</f>
        <v>Lib</v>
      </c>
      <c r="J738" t="str">
        <f>_xlfn.XLOOKUP(D738,products!$A$2:$A$49,products!$C$2:$C$49,0)</f>
        <v>D</v>
      </c>
      <c r="K738" s="4">
        <f>_xlfn.XLOOKUP(D738,products!$A$2:$A$49,products!$D$2:$D$49,0)</f>
        <v>1</v>
      </c>
      <c r="L738" s="5">
        <f>_xlfn.XLOOKUP(D738,products!$A$2:$A$49,products!$E$2:$E$49,0)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_xlfn.XLOOKUP(orders!C739,customers!$A$1:$A$1001,customers!$G$1:$G$1001,0)</f>
        <v>United States</v>
      </c>
      <c r="I739" t="str">
        <f>_xlfn.XLOOKUP(D739,products!$A$2:$A$49,products!$B$2:$B$49,0)</f>
        <v>Ara</v>
      </c>
      <c r="J739" t="str">
        <f>_xlfn.XLOOKUP(D739,products!$A$2:$A$49,products!$C$2:$C$49,0)</f>
        <v>M</v>
      </c>
      <c r="K739" s="4">
        <f>_xlfn.XLOOKUP(D739,products!$A$2:$A$49,products!$D$2:$D$49,0)</f>
        <v>1</v>
      </c>
      <c r="L739" s="5">
        <f>_xlfn.XLOOKUP(D739,products!$A$2:$A$49,products!$E$2:$E$49,0)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_xlfn.XLOOKUP(orders!C740,customers!$A$1:$A$1001,customers!$G$1:$G$1001,0)</f>
        <v>United Kingdom</v>
      </c>
      <c r="I740" t="str">
        <f>_xlfn.XLOOKUP(D740,products!$A$2:$A$49,products!$B$2:$B$49,0)</f>
        <v>Rob</v>
      </c>
      <c r="J740" t="str">
        <f>_xlfn.XLOOKUP(D740,products!$A$2:$A$49,products!$C$2:$C$49,0)</f>
        <v>L</v>
      </c>
      <c r="K740" s="4">
        <f>_xlfn.XLOOKUP(D740,products!$A$2:$A$49,products!$D$2:$D$49,0)</f>
        <v>0.2</v>
      </c>
      <c r="L740" s="5">
        <f>_xlfn.XLOOKUP(D740,products!$A$2:$A$49,products!$E$2:$E$49,0)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_xlfn.XLOOKUP(orders!C741,customers!$A$1:$A$1001,customers!$G$1:$G$1001,0)</f>
        <v>Ireland</v>
      </c>
      <c r="I741" t="str">
        <f>_xlfn.XLOOKUP(D741,products!$A$2:$A$49,products!$B$2:$B$49,0)</f>
        <v>Exc</v>
      </c>
      <c r="J741" t="str">
        <f>_xlfn.XLOOKUP(D741,products!$A$2:$A$49,products!$C$2:$C$49,0)</f>
        <v>D</v>
      </c>
      <c r="K741" s="4">
        <f>_xlfn.XLOOKUP(D741,products!$A$2:$A$49,products!$D$2:$D$49,0)</f>
        <v>0.2</v>
      </c>
      <c r="L741" s="5">
        <f>_xlfn.XLOOKUP(D741,products!$A$2:$A$49,products!$E$2:$E$49,0)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_xlfn.XLOOKUP(orders!C742,customers!$A$1:$A$1001,customers!$G$1:$G$1001,0)</f>
        <v>Ireland</v>
      </c>
      <c r="I742" t="str">
        <f>_xlfn.XLOOKUP(D742,products!$A$2:$A$49,products!$B$2:$B$49,0)</f>
        <v>Rob</v>
      </c>
      <c r="J742" t="str">
        <f>_xlfn.XLOOKUP(D742,products!$A$2:$A$49,products!$C$2:$C$49,0)</f>
        <v>L</v>
      </c>
      <c r="K742" s="4">
        <f>_xlfn.XLOOKUP(D742,products!$A$2:$A$49,products!$D$2:$D$49,0)</f>
        <v>0.5</v>
      </c>
      <c r="L742" s="5">
        <f>_xlfn.XLOOKUP(D742,products!$A$2:$A$49,products!$E$2:$E$49,0)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_xlfn.XLOOKUP(orders!C743,customers!$A$1:$A$1001,customers!$G$1:$G$1001,0)</f>
        <v>United States</v>
      </c>
      <c r="I743" t="str">
        <f>_xlfn.XLOOKUP(D743,products!$A$2:$A$49,products!$B$2:$B$49,0)</f>
        <v>Lib</v>
      </c>
      <c r="J743" t="str">
        <f>_xlfn.XLOOKUP(D743,products!$A$2:$A$49,products!$C$2:$C$49,0)</f>
        <v>M</v>
      </c>
      <c r="K743" s="4">
        <f>_xlfn.XLOOKUP(D743,products!$A$2:$A$49,products!$D$2:$D$49,0)</f>
        <v>0.2</v>
      </c>
      <c r="L743" s="5">
        <f>_xlfn.XLOOKUP(D743,products!$A$2:$A$49,products!$E$2:$E$49,0)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_xlfn.XLOOKUP(orders!C744,customers!$A$1:$A$1001,customers!$G$1:$G$1001,0)</f>
        <v>United States</v>
      </c>
      <c r="I744" t="str">
        <f>_xlfn.XLOOKUP(D744,products!$A$2:$A$49,products!$B$2:$B$49,0)</f>
        <v>Lib</v>
      </c>
      <c r="J744" t="str">
        <f>_xlfn.XLOOKUP(D744,products!$A$2:$A$49,products!$C$2:$C$49,0)</f>
        <v>M</v>
      </c>
      <c r="K744" s="4">
        <f>_xlfn.XLOOKUP(D744,products!$A$2:$A$49,products!$D$2:$D$49,0)</f>
        <v>1</v>
      </c>
      <c r="L744" s="5">
        <f>_xlfn.XLOOKUP(D744,products!$A$2:$A$49,products!$E$2:$E$49,0)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_xlfn.XLOOKUP(orders!C745,customers!$A$1:$A$1001,customers!$G$1:$G$1001,0)</f>
        <v>United States</v>
      </c>
      <c r="I745" t="str">
        <f>_xlfn.XLOOKUP(D745,products!$A$2:$A$49,products!$B$2:$B$49,0)</f>
        <v>Ara</v>
      </c>
      <c r="J745" t="str">
        <f>_xlfn.XLOOKUP(D745,products!$A$2:$A$49,products!$C$2:$C$49,0)</f>
        <v>D</v>
      </c>
      <c r="K745" s="4">
        <f>_xlfn.XLOOKUP(D745,products!$A$2:$A$49,products!$D$2:$D$49,0)</f>
        <v>0.5</v>
      </c>
      <c r="L745" s="5">
        <f>_xlfn.XLOOKUP(D745,products!$A$2:$A$49,products!$E$2:$E$49,0)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_xlfn.XLOOKUP(orders!C746,customers!$A$1:$A$1001,customers!$G$1:$G$1001,0)</f>
        <v>United States</v>
      </c>
      <c r="I746" t="str">
        <f>_xlfn.XLOOKUP(D746,products!$A$2:$A$49,products!$B$2:$B$49,0)</f>
        <v>Rob</v>
      </c>
      <c r="J746" t="str">
        <f>_xlfn.XLOOKUP(D746,products!$A$2:$A$49,products!$C$2:$C$49,0)</f>
        <v>M</v>
      </c>
      <c r="K746" s="4">
        <f>_xlfn.XLOOKUP(D746,products!$A$2:$A$49,products!$D$2:$D$49,0)</f>
        <v>0.2</v>
      </c>
      <c r="L746" s="5">
        <f>_xlfn.XLOOKUP(D746,products!$A$2:$A$49,products!$E$2:$E$49,0)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_xlfn.XLOOKUP(orders!C747,customers!$A$1:$A$1001,customers!$G$1:$G$1001,0)</f>
        <v>Ireland</v>
      </c>
      <c r="I747" t="str">
        <f>_xlfn.XLOOKUP(D747,products!$A$2:$A$49,products!$B$2:$B$49,0)</f>
        <v>Exc</v>
      </c>
      <c r="J747" t="str">
        <f>_xlfn.XLOOKUP(D747,products!$A$2:$A$49,products!$C$2:$C$49,0)</f>
        <v>D</v>
      </c>
      <c r="K747" s="4">
        <f>_xlfn.XLOOKUP(D747,products!$A$2:$A$49,products!$D$2:$D$49,0)</f>
        <v>0.5</v>
      </c>
      <c r="L747" s="5">
        <f>_xlfn.XLOOKUP(D747,products!$A$2:$A$49,products!$E$2:$E$49,0)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_xlfn.XLOOKUP(orders!C748,customers!$A$1:$A$1001,customers!$G$1:$G$1001,0)</f>
        <v>Ireland</v>
      </c>
      <c r="I748" t="str">
        <f>_xlfn.XLOOKUP(D748,products!$A$2:$A$49,products!$B$2:$B$49,0)</f>
        <v>Ara</v>
      </c>
      <c r="J748" t="str">
        <f>_xlfn.XLOOKUP(D748,products!$A$2:$A$49,products!$C$2:$C$49,0)</f>
        <v>M</v>
      </c>
      <c r="K748" s="4">
        <f>_xlfn.XLOOKUP(D748,products!$A$2:$A$49,products!$D$2:$D$49,0)</f>
        <v>1</v>
      </c>
      <c r="L748" s="5">
        <f>_xlfn.XLOOKUP(D748,products!$A$2:$A$49,products!$E$2:$E$49,0)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_xlfn.XLOOKUP(orders!C749,customers!$A$1:$A$1001,customers!$G$1:$G$1001,0)</f>
        <v>Ireland</v>
      </c>
      <c r="I749" t="str">
        <f>_xlfn.XLOOKUP(D749,products!$A$2:$A$49,products!$B$2:$B$49,0)</f>
        <v>Lib</v>
      </c>
      <c r="J749" t="str">
        <f>_xlfn.XLOOKUP(D749,products!$A$2:$A$49,products!$C$2:$C$49,0)</f>
        <v>M</v>
      </c>
      <c r="K749" s="4">
        <f>_xlfn.XLOOKUP(D749,products!$A$2:$A$49,products!$D$2:$D$49,0)</f>
        <v>0.5</v>
      </c>
      <c r="L749" s="5">
        <f>_xlfn.XLOOKUP(D749,products!$A$2:$A$49,products!$E$2:$E$49,0)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_xlfn.XLOOKUP(orders!C750,customers!$A$1:$A$1001,customers!$G$1:$G$1001,0)</f>
        <v>United States</v>
      </c>
      <c r="I750" t="str">
        <f>_xlfn.XLOOKUP(D750,products!$A$2:$A$49,products!$B$2:$B$49,0)</f>
        <v>Exc</v>
      </c>
      <c r="J750" t="str">
        <f>_xlfn.XLOOKUP(D750,products!$A$2:$A$49,products!$C$2:$C$49,0)</f>
        <v>D</v>
      </c>
      <c r="K750" s="4">
        <f>_xlfn.XLOOKUP(D750,products!$A$2:$A$49,products!$D$2:$D$49,0)</f>
        <v>0.5</v>
      </c>
      <c r="L750" s="5">
        <f>_xlfn.XLOOKUP(D750,products!$A$2:$A$49,products!$E$2:$E$49,0)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_xlfn.XLOOKUP(orders!C751,customers!$A$1:$A$1001,customers!$G$1:$G$1001,0)</f>
        <v>Ireland</v>
      </c>
      <c r="I751" t="str">
        <f>_xlfn.XLOOKUP(D751,products!$A$2:$A$49,products!$B$2:$B$49,0)</f>
        <v>Rob</v>
      </c>
      <c r="J751" t="str">
        <f>_xlfn.XLOOKUP(D751,products!$A$2:$A$49,products!$C$2:$C$49,0)</f>
        <v>D</v>
      </c>
      <c r="K751" s="4">
        <f>_xlfn.XLOOKUP(D751,products!$A$2:$A$49,products!$D$2:$D$49,0)</f>
        <v>0.2</v>
      </c>
      <c r="L751" s="5">
        <f>_xlfn.XLOOKUP(D751,products!$A$2:$A$49,products!$E$2:$E$49,0)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_xlfn.XLOOKUP(orders!C752,customers!$A$1:$A$1001,customers!$G$1:$G$1001,0)</f>
        <v>United States</v>
      </c>
      <c r="I752" t="str">
        <f>_xlfn.XLOOKUP(D752,products!$A$2:$A$49,products!$B$2:$B$49,0)</f>
        <v>Rob</v>
      </c>
      <c r="J752" t="str">
        <f>_xlfn.XLOOKUP(D752,products!$A$2:$A$49,products!$C$2:$C$49,0)</f>
        <v>M</v>
      </c>
      <c r="K752" s="4">
        <f>_xlfn.XLOOKUP(D752,products!$A$2:$A$49,products!$D$2:$D$49,0)</f>
        <v>0.5</v>
      </c>
      <c r="L752" s="5">
        <f>_xlfn.XLOOKUP(D752,products!$A$2:$A$49,products!$E$2:$E$49,0)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_xlfn.XLOOKUP(orders!C753,customers!$A$1:$A$1001,customers!$G$1:$G$1001,0)</f>
        <v>United States</v>
      </c>
      <c r="I753" t="str">
        <f>_xlfn.XLOOKUP(D753,products!$A$2:$A$49,products!$B$2:$B$49,0)</f>
        <v>Lib</v>
      </c>
      <c r="J753" t="str">
        <f>_xlfn.XLOOKUP(D753,products!$A$2:$A$49,products!$C$2:$C$49,0)</f>
        <v>L</v>
      </c>
      <c r="K753" s="4">
        <f>_xlfn.XLOOKUP(D753,products!$A$2:$A$49,products!$D$2:$D$49,0)</f>
        <v>0.5</v>
      </c>
      <c r="L753" s="5">
        <f>_xlfn.XLOOKUP(D753,products!$A$2:$A$49,products!$E$2:$E$49,0)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_xlfn.XLOOKUP(orders!C754,customers!$A$1:$A$1001,customers!$G$1:$G$1001,0)</f>
        <v>United States</v>
      </c>
      <c r="I754" t="str">
        <f>_xlfn.XLOOKUP(D754,products!$A$2:$A$49,products!$B$2:$B$49,0)</f>
        <v>Exc</v>
      </c>
      <c r="J754" t="str">
        <f>_xlfn.XLOOKUP(D754,products!$A$2:$A$49,products!$C$2:$C$49,0)</f>
        <v>M</v>
      </c>
      <c r="K754" s="4">
        <f>_xlfn.XLOOKUP(D754,products!$A$2:$A$49,products!$D$2:$D$49,0)</f>
        <v>1</v>
      </c>
      <c r="L754" s="5">
        <f>_xlfn.XLOOKUP(D754,products!$A$2:$A$49,products!$E$2:$E$49,0)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_xlfn.XLOOKUP(orders!C755,customers!$A$1:$A$1001,customers!$G$1:$G$1001,0)</f>
        <v>United States</v>
      </c>
      <c r="I755" t="str">
        <f>_xlfn.XLOOKUP(D755,products!$A$2:$A$49,products!$B$2:$B$49,0)</f>
        <v>Ara</v>
      </c>
      <c r="J755" t="str">
        <f>_xlfn.XLOOKUP(D755,products!$A$2:$A$49,products!$C$2:$C$49,0)</f>
        <v>D</v>
      </c>
      <c r="K755" s="4">
        <f>_xlfn.XLOOKUP(D755,products!$A$2:$A$49,products!$D$2:$D$49,0)</f>
        <v>0.5</v>
      </c>
      <c r="L755" s="5">
        <f>_xlfn.XLOOKUP(D755,products!$A$2:$A$49,products!$E$2:$E$49,0)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_xlfn.XLOOKUP(orders!C756,customers!$A$1:$A$1001,customers!$G$1:$G$1001,0)</f>
        <v>Ireland</v>
      </c>
      <c r="I756" t="str">
        <f>_xlfn.XLOOKUP(D756,products!$A$2:$A$49,products!$B$2:$B$49,0)</f>
        <v>Ara</v>
      </c>
      <c r="J756" t="str">
        <f>_xlfn.XLOOKUP(D756,products!$A$2:$A$49,products!$C$2:$C$49,0)</f>
        <v>D</v>
      </c>
      <c r="K756" s="4">
        <f>_xlfn.XLOOKUP(D756,products!$A$2:$A$49,products!$D$2:$D$49,0)</f>
        <v>0.2</v>
      </c>
      <c r="L756" s="5">
        <f>_xlfn.XLOOKUP(D756,products!$A$2:$A$49,products!$E$2:$E$49,0)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_xlfn.XLOOKUP(orders!C757,customers!$A$1:$A$1001,customers!$G$1:$G$1001,0)</f>
        <v>United States</v>
      </c>
      <c r="I757" t="str">
        <f>_xlfn.XLOOKUP(D757,products!$A$2:$A$49,products!$B$2:$B$49,0)</f>
        <v>Lib</v>
      </c>
      <c r="J757" t="str">
        <f>_xlfn.XLOOKUP(D757,products!$A$2:$A$49,products!$C$2:$C$49,0)</f>
        <v>L</v>
      </c>
      <c r="K757" s="4">
        <f>_xlfn.XLOOKUP(D757,products!$A$2:$A$49,products!$D$2:$D$49,0)</f>
        <v>0.2</v>
      </c>
      <c r="L757" s="5">
        <f>_xlfn.XLOOKUP(D757,products!$A$2:$A$49,products!$E$2:$E$49,0)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_xlfn.XLOOKUP(orders!C758,customers!$A$1:$A$1001,customers!$G$1:$G$1001,0)</f>
        <v>United States</v>
      </c>
      <c r="I758" t="str">
        <f>_xlfn.XLOOKUP(D758,products!$A$2:$A$49,products!$B$2:$B$49,0)</f>
        <v>Rob</v>
      </c>
      <c r="J758" t="str">
        <f>_xlfn.XLOOKUP(D758,products!$A$2:$A$49,products!$C$2:$C$49,0)</f>
        <v>D</v>
      </c>
      <c r="K758" s="4">
        <f>_xlfn.XLOOKUP(D758,products!$A$2:$A$49,products!$D$2:$D$49,0)</f>
        <v>1</v>
      </c>
      <c r="L758" s="5">
        <f>_xlfn.XLOOKUP(D758,products!$A$2:$A$49,products!$E$2:$E$49,0)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_xlfn.XLOOKUP(orders!C759,customers!$A$1:$A$1001,customers!$G$1:$G$1001,0)</f>
        <v>United States</v>
      </c>
      <c r="I759" t="str">
        <f>_xlfn.XLOOKUP(D759,products!$A$2:$A$49,products!$B$2:$B$49,0)</f>
        <v>Ara</v>
      </c>
      <c r="J759" t="str">
        <f>_xlfn.XLOOKUP(D759,products!$A$2:$A$49,products!$C$2:$C$49,0)</f>
        <v>D</v>
      </c>
      <c r="K759" s="4">
        <f>_xlfn.XLOOKUP(D759,products!$A$2:$A$49,products!$D$2:$D$49,0)</f>
        <v>0.5</v>
      </c>
      <c r="L759" s="5">
        <f>_xlfn.XLOOKUP(D759,products!$A$2:$A$49,products!$E$2:$E$49,0)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_xlfn.XLOOKUP(orders!C760,customers!$A$1:$A$1001,customers!$G$1:$G$1001,0)</f>
        <v>United States</v>
      </c>
      <c r="I760" t="str">
        <f>_xlfn.XLOOKUP(D760,products!$A$2:$A$49,products!$B$2:$B$49,0)</f>
        <v>Rob</v>
      </c>
      <c r="J760" t="str">
        <f>_xlfn.XLOOKUP(D760,products!$A$2:$A$49,products!$C$2:$C$49,0)</f>
        <v>D</v>
      </c>
      <c r="K760" s="4">
        <f>_xlfn.XLOOKUP(D760,products!$A$2:$A$49,products!$D$2:$D$49,0)</f>
        <v>1</v>
      </c>
      <c r="L760" s="5">
        <f>_xlfn.XLOOKUP(D760,products!$A$2:$A$49,products!$E$2:$E$49,0)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_xlfn.XLOOKUP(orders!C761,customers!$A$1:$A$1001,customers!$G$1:$G$1001,0)</f>
        <v>United States</v>
      </c>
      <c r="I761" t="str">
        <f>_xlfn.XLOOKUP(D761,products!$A$2:$A$49,products!$B$2:$B$49,0)</f>
        <v>Lib</v>
      </c>
      <c r="J761" t="str">
        <f>_xlfn.XLOOKUP(D761,products!$A$2:$A$49,products!$C$2:$C$49,0)</f>
        <v>D</v>
      </c>
      <c r="K761" s="4">
        <f>_xlfn.XLOOKUP(D761,products!$A$2:$A$49,products!$D$2:$D$49,0)</f>
        <v>2.5</v>
      </c>
      <c r="L761" s="5">
        <f>_xlfn.XLOOKUP(D761,products!$A$2:$A$49,products!$E$2:$E$49,0)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_xlfn.XLOOKUP(orders!C762,customers!$A$1:$A$1001,customers!$G$1:$G$1001,0)</f>
        <v>United States</v>
      </c>
      <c r="I762" t="str">
        <f>_xlfn.XLOOKUP(D762,products!$A$2:$A$49,products!$B$2:$B$49,0)</f>
        <v>Exc</v>
      </c>
      <c r="J762" t="str">
        <f>_xlfn.XLOOKUP(D762,products!$A$2:$A$49,products!$C$2:$C$49,0)</f>
        <v>L</v>
      </c>
      <c r="K762" s="4">
        <f>_xlfn.XLOOKUP(D762,products!$A$2:$A$49,products!$D$2:$D$49,0)</f>
        <v>0.5</v>
      </c>
      <c r="L762" s="5">
        <f>_xlfn.XLOOKUP(D762,products!$A$2:$A$49,products!$E$2:$E$49,0)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_xlfn.XLOOKUP(orders!C763,customers!$A$1:$A$1001,customers!$G$1:$G$1001,0)</f>
        <v>United States</v>
      </c>
      <c r="I763" t="str">
        <f>_xlfn.XLOOKUP(D763,products!$A$2:$A$49,products!$B$2:$B$49,0)</f>
        <v>Exc</v>
      </c>
      <c r="J763" t="str">
        <f>_xlfn.XLOOKUP(D763,products!$A$2:$A$49,products!$C$2:$C$49,0)</f>
        <v>L</v>
      </c>
      <c r="K763" s="4">
        <f>_xlfn.XLOOKUP(D763,products!$A$2:$A$49,products!$D$2:$D$49,0)</f>
        <v>1</v>
      </c>
      <c r="L763" s="5">
        <f>_xlfn.XLOOKUP(D763,products!$A$2:$A$49,products!$E$2:$E$49,0)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_xlfn.XLOOKUP(orders!C764,customers!$A$1:$A$1001,customers!$G$1:$G$1001,0)</f>
        <v>United Kingdom</v>
      </c>
      <c r="I764" t="str">
        <f>_xlfn.XLOOKUP(D764,products!$A$2:$A$49,products!$B$2:$B$49,0)</f>
        <v>Lib</v>
      </c>
      <c r="J764" t="str">
        <f>_xlfn.XLOOKUP(D764,products!$A$2:$A$49,products!$C$2:$C$49,0)</f>
        <v>M</v>
      </c>
      <c r="K764" s="4">
        <f>_xlfn.XLOOKUP(D764,products!$A$2:$A$49,products!$D$2:$D$49,0)</f>
        <v>0.5</v>
      </c>
      <c r="L764" s="5">
        <f>_xlfn.XLOOKUP(D764,products!$A$2:$A$49,products!$E$2:$E$49,0)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_xlfn.XLOOKUP(orders!C765,customers!$A$1:$A$1001,customers!$G$1:$G$1001,0)</f>
        <v>United States</v>
      </c>
      <c r="I765" t="str">
        <f>_xlfn.XLOOKUP(D765,products!$A$2:$A$49,products!$B$2:$B$49,0)</f>
        <v>Ara</v>
      </c>
      <c r="J765" t="str">
        <f>_xlfn.XLOOKUP(D765,products!$A$2:$A$49,products!$C$2:$C$49,0)</f>
        <v>L</v>
      </c>
      <c r="K765" s="4">
        <f>_xlfn.XLOOKUP(D765,products!$A$2:$A$49,products!$D$2:$D$49,0)</f>
        <v>0.5</v>
      </c>
      <c r="L765" s="5">
        <f>_xlfn.XLOOKUP(D765,products!$A$2:$A$49,products!$E$2:$E$49,0)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_xlfn.XLOOKUP(orders!C766,customers!$A$1:$A$1001,customers!$G$1:$G$1001,0)</f>
        <v>United States</v>
      </c>
      <c r="I766" t="str">
        <f>_xlfn.XLOOKUP(D766,products!$A$2:$A$49,products!$B$2:$B$49,0)</f>
        <v>Ara</v>
      </c>
      <c r="J766" t="str">
        <f>_xlfn.XLOOKUP(D766,products!$A$2:$A$49,products!$C$2:$C$49,0)</f>
        <v>L</v>
      </c>
      <c r="K766" s="4">
        <f>_xlfn.XLOOKUP(D766,products!$A$2:$A$49,products!$D$2:$D$49,0)</f>
        <v>2.5</v>
      </c>
      <c r="L766" s="5">
        <f>_xlfn.XLOOKUP(D766,products!$A$2:$A$49,products!$E$2:$E$49,0)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_xlfn.XLOOKUP(orders!C767,customers!$A$1:$A$1001,customers!$G$1:$G$1001,0)</f>
        <v>United States</v>
      </c>
      <c r="I767" t="str">
        <f>_xlfn.XLOOKUP(D767,products!$A$2:$A$49,products!$B$2:$B$49,0)</f>
        <v>Rob</v>
      </c>
      <c r="J767" t="str">
        <f>_xlfn.XLOOKUP(D767,products!$A$2:$A$49,products!$C$2:$C$49,0)</f>
        <v>M</v>
      </c>
      <c r="K767" s="4">
        <f>_xlfn.XLOOKUP(D767,products!$A$2:$A$49,products!$D$2:$D$49,0)</f>
        <v>1</v>
      </c>
      <c r="L767" s="5">
        <f>_xlfn.XLOOKUP(D767,products!$A$2:$A$49,products!$E$2:$E$49,0)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_xlfn.XLOOKUP(orders!C768,customers!$A$1:$A$1001,customers!$G$1:$G$1001,0)</f>
        <v>United States</v>
      </c>
      <c r="I768" t="str">
        <f>_xlfn.XLOOKUP(D768,products!$A$2:$A$49,products!$B$2:$B$49,0)</f>
        <v>Ara</v>
      </c>
      <c r="J768" t="str">
        <f>_xlfn.XLOOKUP(D768,products!$A$2:$A$49,products!$C$2:$C$49,0)</f>
        <v>L</v>
      </c>
      <c r="K768" s="4">
        <f>_xlfn.XLOOKUP(D768,products!$A$2:$A$49,products!$D$2:$D$49,0)</f>
        <v>0.5</v>
      </c>
      <c r="L768" s="5">
        <f>_xlfn.XLOOKUP(D768,products!$A$2:$A$49,products!$E$2:$E$49,0)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_xlfn.XLOOKUP(orders!C769,customers!$A$1:$A$1001,customers!$G$1:$G$1001,0)</f>
        <v>United States</v>
      </c>
      <c r="I769" t="str">
        <f>_xlfn.XLOOKUP(D769,products!$A$2:$A$49,products!$B$2:$B$49,0)</f>
        <v>Ara</v>
      </c>
      <c r="J769" t="str">
        <f>_xlfn.XLOOKUP(D769,products!$A$2:$A$49,products!$C$2:$C$49,0)</f>
        <v>L</v>
      </c>
      <c r="K769" s="4">
        <f>_xlfn.XLOOKUP(D769,products!$A$2:$A$49,products!$D$2:$D$49,0)</f>
        <v>2.5</v>
      </c>
      <c r="L769" s="5">
        <f>_xlfn.XLOOKUP(D769,products!$A$2:$A$49,products!$E$2:$E$49,0)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_xlfn.XLOOKUP(orders!C770,customers!$A$1:$A$1001,customers!$G$1:$G$1001,0)</f>
        <v>United States</v>
      </c>
      <c r="I770" t="str">
        <f>_xlfn.XLOOKUP(D770,products!$A$2:$A$49,products!$B$2:$B$49,0)</f>
        <v>Rob</v>
      </c>
      <c r="J770" t="str">
        <f>_xlfn.XLOOKUP(D770,products!$A$2:$A$49,products!$C$2:$C$49,0)</f>
        <v>L</v>
      </c>
      <c r="K770" s="4">
        <f>_xlfn.XLOOKUP(D770,products!$A$2:$A$49,products!$D$2:$D$49,0)</f>
        <v>1</v>
      </c>
      <c r="L770" s="5">
        <f>_xlfn.XLOOKUP(D770,products!$A$2:$A$49,products!$E$2:$E$49,0)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_xlfn.XLOOKUP(orders!C771,customers!$A$1:$A$1001,customers!$G$1:$G$1001,0)</f>
        <v>United Kingdom</v>
      </c>
      <c r="I771" t="str">
        <f>_xlfn.XLOOKUP(D771,products!$A$2:$A$49,products!$B$2:$B$49,0)</f>
        <v>Rob</v>
      </c>
      <c r="J771" t="str">
        <f>_xlfn.XLOOKUP(D771,products!$A$2:$A$49,products!$C$2:$C$49,0)</f>
        <v>M</v>
      </c>
      <c r="K771" s="4">
        <f>_xlfn.XLOOKUP(D771,products!$A$2:$A$49,products!$D$2:$D$49,0)</f>
        <v>2.5</v>
      </c>
      <c r="L771" s="5">
        <f>_xlfn.XLOOKUP(D771,products!$A$2:$A$49,products!$E$2:$E$49,0)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_xlfn.XLOOKUP(orders!C772,customers!$A$1:$A$1001,customers!$G$1:$G$1001,0)</f>
        <v>United States</v>
      </c>
      <c r="I772" t="str">
        <f>_xlfn.XLOOKUP(D772,products!$A$2:$A$49,products!$B$2:$B$49,0)</f>
        <v>Ara</v>
      </c>
      <c r="J772" t="str">
        <f>_xlfn.XLOOKUP(D772,products!$A$2:$A$49,products!$C$2:$C$49,0)</f>
        <v>D</v>
      </c>
      <c r="K772" s="4">
        <f>_xlfn.XLOOKUP(D772,products!$A$2:$A$49,products!$D$2:$D$49,0)</f>
        <v>1</v>
      </c>
      <c r="L772" s="5">
        <f>_xlfn.XLOOKUP(D772,products!$A$2:$A$49,products!$E$2:$E$49,0)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_xlfn.XLOOKUP(orders!C773,customers!$A$1:$A$1001,customers!$G$1:$G$1001,0)</f>
        <v>United States</v>
      </c>
      <c r="I773" t="str">
        <f>_xlfn.XLOOKUP(D773,products!$A$2:$A$49,products!$B$2:$B$49,0)</f>
        <v>Rob</v>
      </c>
      <c r="J773" t="str">
        <f>_xlfn.XLOOKUP(D773,products!$A$2:$A$49,products!$C$2:$C$49,0)</f>
        <v>L</v>
      </c>
      <c r="K773" s="4">
        <f>_xlfn.XLOOKUP(D773,products!$A$2:$A$49,products!$D$2:$D$49,0)</f>
        <v>0.5</v>
      </c>
      <c r="L773" s="5">
        <f>_xlfn.XLOOKUP(D773,products!$A$2:$A$49,products!$E$2:$E$49,0)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_xlfn.XLOOKUP(orders!C774,customers!$A$1:$A$1001,customers!$G$1:$G$1001,0)</f>
        <v>United States</v>
      </c>
      <c r="I774" t="str">
        <f>_xlfn.XLOOKUP(D774,products!$A$2:$A$49,products!$B$2:$B$49,0)</f>
        <v>Exc</v>
      </c>
      <c r="J774" t="str">
        <f>_xlfn.XLOOKUP(D774,products!$A$2:$A$49,products!$C$2:$C$49,0)</f>
        <v>M</v>
      </c>
      <c r="K774" s="4">
        <f>_xlfn.XLOOKUP(D774,products!$A$2:$A$49,products!$D$2:$D$49,0)</f>
        <v>1</v>
      </c>
      <c r="L774" s="5">
        <f>_xlfn.XLOOKUP(D774,products!$A$2:$A$49,products!$E$2:$E$49,0)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_xlfn.XLOOKUP(orders!C775,customers!$A$1:$A$1001,customers!$G$1:$G$1001,0)</f>
        <v>Ireland</v>
      </c>
      <c r="I775" t="str">
        <f>_xlfn.XLOOKUP(D775,products!$A$2:$A$49,products!$B$2:$B$49,0)</f>
        <v>Lib</v>
      </c>
      <c r="J775" t="str">
        <f>_xlfn.XLOOKUP(D775,products!$A$2:$A$49,products!$C$2:$C$49,0)</f>
        <v>M</v>
      </c>
      <c r="K775" s="4">
        <f>_xlfn.XLOOKUP(D775,products!$A$2:$A$49,products!$D$2:$D$49,0)</f>
        <v>0.2</v>
      </c>
      <c r="L775" s="5">
        <f>_xlfn.XLOOKUP(D775,products!$A$2:$A$49,products!$E$2:$E$49,0)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_xlfn.XLOOKUP(orders!C776,customers!$A$1:$A$1001,customers!$G$1:$G$1001,0)</f>
        <v>United States</v>
      </c>
      <c r="I776" t="str">
        <f>_xlfn.XLOOKUP(D776,products!$A$2:$A$49,products!$B$2:$B$49,0)</f>
        <v>Rob</v>
      </c>
      <c r="J776" t="str">
        <f>_xlfn.XLOOKUP(D776,products!$A$2:$A$49,products!$C$2:$C$49,0)</f>
        <v>M</v>
      </c>
      <c r="K776" s="4">
        <f>_xlfn.XLOOKUP(D776,products!$A$2:$A$49,products!$D$2:$D$49,0)</f>
        <v>1</v>
      </c>
      <c r="L776" s="5">
        <f>_xlfn.XLOOKUP(D776,products!$A$2:$A$49,products!$E$2:$E$49,0)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_xlfn.XLOOKUP(orders!C777,customers!$A$1:$A$1001,customers!$G$1:$G$1001,0)</f>
        <v>United States</v>
      </c>
      <c r="I777" t="str">
        <f>_xlfn.XLOOKUP(D777,products!$A$2:$A$49,products!$B$2:$B$49,0)</f>
        <v>Exc</v>
      </c>
      <c r="J777" t="str">
        <f>_xlfn.XLOOKUP(D777,products!$A$2:$A$49,products!$C$2:$C$49,0)</f>
        <v>L</v>
      </c>
      <c r="K777" s="4">
        <f>_xlfn.XLOOKUP(D777,products!$A$2:$A$49,products!$D$2:$D$49,0)</f>
        <v>0.5</v>
      </c>
      <c r="L777" s="5">
        <f>_xlfn.XLOOKUP(D777,products!$A$2:$A$49,products!$E$2:$E$49,0)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_xlfn.XLOOKUP(orders!C778,customers!$A$1:$A$1001,customers!$G$1:$G$1001,0)</f>
        <v>United States</v>
      </c>
      <c r="I778" t="str">
        <f>_xlfn.XLOOKUP(D778,products!$A$2:$A$49,products!$B$2:$B$49,0)</f>
        <v>Ara</v>
      </c>
      <c r="J778" t="str">
        <f>_xlfn.XLOOKUP(D778,products!$A$2:$A$49,products!$C$2:$C$49,0)</f>
        <v>M</v>
      </c>
      <c r="K778" s="4">
        <f>_xlfn.XLOOKUP(D778,products!$A$2:$A$49,products!$D$2:$D$49,0)</f>
        <v>0.5</v>
      </c>
      <c r="L778" s="5">
        <f>_xlfn.XLOOKUP(D778,products!$A$2:$A$49,products!$E$2:$E$49,0)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_xlfn.XLOOKUP(orders!C779,customers!$A$1:$A$1001,customers!$G$1:$G$1001,0)</f>
        <v>United States</v>
      </c>
      <c r="I779" t="str">
        <f>_xlfn.XLOOKUP(D779,products!$A$2:$A$49,products!$B$2:$B$49,0)</f>
        <v>Ara</v>
      </c>
      <c r="J779" t="str">
        <f>_xlfn.XLOOKUP(D779,products!$A$2:$A$49,products!$C$2:$C$49,0)</f>
        <v>L</v>
      </c>
      <c r="K779" s="4">
        <f>_xlfn.XLOOKUP(D779,products!$A$2:$A$49,products!$D$2:$D$49,0)</f>
        <v>2.5</v>
      </c>
      <c r="L779" s="5">
        <f>_xlfn.XLOOKUP(D779,products!$A$2:$A$49,products!$E$2:$E$49,0)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_xlfn.XLOOKUP(orders!C780,customers!$A$1:$A$1001,customers!$G$1:$G$1001,0)</f>
        <v>United States</v>
      </c>
      <c r="I780" t="str">
        <f>_xlfn.XLOOKUP(D780,products!$A$2:$A$49,products!$B$2:$B$49,0)</f>
        <v>Lib</v>
      </c>
      <c r="J780" t="str">
        <f>_xlfn.XLOOKUP(D780,products!$A$2:$A$49,products!$C$2:$C$49,0)</f>
        <v>L</v>
      </c>
      <c r="K780" s="4">
        <f>_xlfn.XLOOKUP(D780,products!$A$2:$A$49,products!$D$2:$D$49,0)</f>
        <v>0.5</v>
      </c>
      <c r="L780" s="5">
        <f>_xlfn.XLOOKUP(D780,products!$A$2:$A$49,products!$E$2:$E$49,0)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_xlfn.XLOOKUP(orders!C781,customers!$A$1:$A$1001,customers!$G$1:$G$1001,0)</f>
        <v>United States</v>
      </c>
      <c r="I781" t="str">
        <f>_xlfn.XLOOKUP(D781,products!$A$2:$A$49,products!$B$2:$B$49,0)</f>
        <v>Lib</v>
      </c>
      <c r="J781" t="str">
        <f>_xlfn.XLOOKUP(D781,products!$A$2:$A$49,products!$C$2:$C$49,0)</f>
        <v>D</v>
      </c>
      <c r="K781" s="4">
        <f>_xlfn.XLOOKUP(D781,products!$A$2:$A$49,products!$D$2:$D$49,0)</f>
        <v>1</v>
      </c>
      <c r="L781" s="5">
        <f>_xlfn.XLOOKUP(D781,products!$A$2:$A$49,products!$E$2:$E$49,0)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_xlfn.XLOOKUP(orders!C782,customers!$A$1:$A$1001,customers!$G$1:$G$1001,0)</f>
        <v>United States</v>
      </c>
      <c r="I782" t="str">
        <f>_xlfn.XLOOKUP(D782,products!$A$2:$A$49,products!$B$2:$B$49,0)</f>
        <v>Exc</v>
      </c>
      <c r="J782" t="str">
        <f>_xlfn.XLOOKUP(D782,products!$A$2:$A$49,products!$C$2:$C$49,0)</f>
        <v>M</v>
      </c>
      <c r="K782" s="4">
        <f>_xlfn.XLOOKUP(D782,products!$A$2:$A$49,products!$D$2:$D$49,0)</f>
        <v>1</v>
      </c>
      <c r="L782" s="5">
        <f>_xlfn.XLOOKUP(D782,products!$A$2:$A$49,products!$E$2:$E$49,0)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_xlfn.XLOOKUP(orders!C783,customers!$A$1:$A$1001,customers!$G$1:$G$1001,0)</f>
        <v>United States</v>
      </c>
      <c r="I783" t="str">
        <f>_xlfn.XLOOKUP(D783,products!$A$2:$A$49,products!$B$2:$B$49,0)</f>
        <v>Lib</v>
      </c>
      <c r="J783" t="str">
        <f>_xlfn.XLOOKUP(D783,products!$A$2:$A$49,products!$C$2:$C$49,0)</f>
        <v>L</v>
      </c>
      <c r="K783" s="4">
        <f>_xlfn.XLOOKUP(D783,products!$A$2:$A$49,products!$D$2:$D$49,0)</f>
        <v>2.5</v>
      </c>
      <c r="L783" s="5">
        <f>_xlfn.XLOOKUP(D783,products!$A$2:$A$49,products!$E$2:$E$49,0)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_xlfn.XLOOKUP(orders!C784,customers!$A$1:$A$1001,customers!$G$1:$G$1001,0)</f>
        <v>Ireland</v>
      </c>
      <c r="I784" t="str">
        <f>_xlfn.XLOOKUP(D784,products!$A$2:$A$49,products!$B$2:$B$49,0)</f>
        <v>Exc</v>
      </c>
      <c r="J784" t="str">
        <f>_xlfn.XLOOKUP(D784,products!$A$2:$A$49,products!$C$2:$C$49,0)</f>
        <v>L</v>
      </c>
      <c r="K784" s="4">
        <f>_xlfn.XLOOKUP(D784,products!$A$2:$A$49,products!$D$2:$D$49,0)</f>
        <v>0.2</v>
      </c>
      <c r="L784" s="5">
        <f>_xlfn.XLOOKUP(D784,products!$A$2:$A$49,products!$E$2:$E$49,0)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_xlfn.XLOOKUP(orders!C785,customers!$A$1:$A$1001,customers!$G$1:$G$1001,0)</f>
        <v>United States</v>
      </c>
      <c r="I785" t="str">
        <f>_xlfn.XLOOKUP(D785,products!$A$2:$A$49,products!$B$2:$B$49,0)</f>
        <v>Lib</v>
      </c>
      <c r="J785" t="str">
        <f>_xlfn.XLOOKUP(D785,products!$A$2:$A$49,products!$C$2:$C$49,0)</f>
        <v>M</v>
      </c>
      <c r="K785" s="4">
        <f>_xlfn.XLOOKUP(D785,products!$A$2:$A$49,products!$D$2:$D$49,0)</f>
        <v>0.5</v>
      </c>
      <c r="L785" s="5">
        <f>_xlfn.XLOOKUP(D785,products!$A$2:$A$49,products!$E$2:$E$49,0)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_xlfn.XLOOKUP(orders!C786,customers!$A$1:$A$1001,customers!$G$1:$G$1001,0)</f>
        <v>United States</v>
      </c>
      <c r="I786" t="str">
        <f>_xlfn.XLOOKUP(D786,products!$A$2:$A$49,products!$B$2:$B$49,0)</f>
        <v>Lib</v>
      </c>
      <c r="J786" t="str">
        <f>_xlfn.XLOOKUP(D786,products!$A$2:$A$49,products!$C$2:$C$49,0)</f>
        <v>L</v>
      </c>
      <c r="K786" s="4">
        <f>_xlfn.XLOOKUP(D786,products!$A$2:$A$49,products!$D$2:$D$49,0)</f>
        <v>1</v>
      </c>
      <c r="L786" s="5">
        <f>_xlfn.XLOOKUP(D786,products!$A$2:$A$49,products!$E$2:$E$49,0)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_xlfn.XLOOKUP(orders!C787,customers!$A$1:$A$1001,customers!$G$1:$G$1001,0)</f>
        <v>United States</v>
      </c>
      <c r="I787" t="str">
        <f>_xlfn.XLOOKUP(D787,products!$A$2:$A$49,products!$B$2:$B$49,0)</f>
        <v>Ara</v>
      </c>
      <c r="J787" t="str">
        <f>_xlfn.XLOOKUP(D787,products!$A$2:$A$49,products!$C$2:$C$49,0)</f>
        <v>D</v>
      </c>
      <c r="K787" s="4">
        <f>_xlfn.XLOOKUP(D787,products!$A$2:$A$49,products!$D$2:$D$49,0)</f>
        <v>2.5</v>
      </c>
      <c r="L787" s="5">
        <f>_xlfn.XLOOKUP(D787,products!$A$2:$A$49,products!$E$2:$E$49,0)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_xlfn.XLOOKUP(orders!C788,customers!$A$1:$A$1001,customers!$G$1:$G$1001,0)</f>
        <v>United States</v>
      </c>
      <c r="I788" t="str">
        <f>_xlfn.XLOOKUP(D788,products!$A$2:$A$49,products!$B$2:$B$49,0)</f>
        <v>Exc</v>
      </c>
      <c r="J788" t="str">
        <f>_xlfn.XLOOKUP(D788,products!$A$2:$A$49,products!$C$2:$C$49,0)</f>
        <v>D</v>
      </c>
      <c r="K788" s="4">
        <f>_xlfn.XLOOKUP(D788,products!$A$2:$A$49,products!$D$2:$D$49,0)</f>
        <v>2.5</v>
      </c>
      <c r="L788" s="5">
        <f>_xlfn.XLOOKUP(D788,products!$A$2:$A$49,products!$E$2:$E$49,0)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_xlfn.XLOOKUP(orders!C789,customers!$A$1:$A$1001,customers!$G$1:$G$1001,0)</f>
        <v>United States</v>
      </c>
      <c r="I789" t="str">
        <f>_xlfn.XLOOKUP(D789,products!$A$2:$A$49,products!$B$2:$B$49,0)</f>
        <v>Exc</v>
      </c>
      <c r="J789" t="str">
        <f>_xlfn.XLOOKUP(D789,products!$A$2:$A$49,products!$C$2:$C$49,0)</f>
        <v>M</v>
      </c>
      <c r="K789" s="4">
        <f>_xlfn.XLOOKUP(D789,products!$A$2:$A$49,products!$D$2:$D$49,0)</f>
        <v>1</v>
      </c>
      <c r="L789" s="5">
        <f>_xlfn.XLOOKUP(D789,products!$A$2:$A$49,products!$E$2:$E$49,0)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_xlfn.XLOOKUP(orders!C790,customers!$A$1:$A$1001,customers!$G$1:$G$1001,0)</f>
        <v>Ireland</v>
      </c>
      <c r="I790" t="str">
        <f>_xlfn.XLOOKUP(D790,products!$A$2:$A$49,products!$B$2:$B$49,0)</f>
        <v>Rob</v>
      </c>
      <c r="J790" t="str">
        <f>_xlfn.XLOOKUP(D790,products!$A$2:$A$49,products!$C$2:$C$49,0)</f>
        <v>M</v>
      </c>
      <c r="K790" s="4">
        <f>_xlfn.XLOOKUP(D790,products!$A$2:$A$49,products!$D$2:$D$49,0)</f>
        <v>2.5</v>
      </c>
      <c r="L790" s="5">
        <f>_xlfn.XLOOKUP(D790,products!$A$2:$A$49,products!$E$2:$E$49,0)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_xlfn.XLOOKUP(orders!C791,customers!$A$1:$A$1001,customers!$G$1:$G$1001,0)</f>
        <v>United States</v>
      </c>
      <c r="I791" t="str">
        <f>_xlfn.XLOOKUP(D791,products!$A$2:$A$49,products!$B$2:$B$49,0)</f>
        <v>Ara</v>
      </c>
      <c r="J791" t="str">
        <f>_xlfn.XLOOKUP(D791,products!$A$2:$A$49,products!$C$2:$C$49,0)</f>
        <v>L</v>
      </c>
      <c r="K791" s="4">
        <f>_xlfn.XLOOKUP(D791,products!$A$2:$A$49,products!$D$2:$D$49,0)</f>
        <v>1</v>
      </c>
      <c r="L791" s="5">
        <f>_xlfn.XLOOKUP(D791,products!$A$2:$A$49,products!$E$2:$E$49,0)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_xlfn.XLOOKUP(orders!C792,customers!$A$1:$A$1001,customers!$G$1:$G$1001,0)</f>
        <v>United States</v>
      </c>
      <c r="I792" t="str">
        <f>_xlfn.XLOOKUP(D792,products!$A$2:$A$49,products!$B$2:$B$49,0)</f>
        <v>Ara</v>
      </c>
      <c r="J792" t="str">
        <f>_xlfn.XLOOKUP(D792,products!$A$2:$A$49,products!$C$2:$C$49,0)</f>
        <v>L</v>
      </c>
      <c r="K792" s="4">
        <f>_xlfn.XLOOKUP(D792,products!$A$2:$A$49,products!$D$2:$D$49,0)</f>
        <v>0.5</v>
      </c>
      <c r="L792" s="5">
        <f>_xlfn.XLOOKUP(D792,products!$A$2:$A$49,products!$E$2:$E$49,0)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_xlfn.XLOOKUP(orders!C793,customers!$A$1:$A$1001,customers!$G$1:$G$1001,0)</f>
        <v>United States</v>
      </c>
      <c r="I793" t="str">
        <f>_xlfn.XLOOKUP(D793,products!$A$2:$A$49,products!$B$2:$B$49,0)</f>
        <v>Lib</v>
      </c>
      <c r="J793" t="str">
        <f>_xlfn.XLOOKUP(D793,products!$A$2:$A$49,products!$C$2:$C$49,0)</f>
        <v>L</v>
      </c>
      <c r="K793" s="4">
        <f>_xlfn.XLOOKUP(D793,products!$A$2:$A$49,products!$D$2:$D$49,0)</f>
        <v>0.2</v>
      </c>
      <c r="L793" s="5">
        <f>_xlfn.XLOOKUP(D793,products!$A$2:$A$49,products!$E$2:$E$49,0)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_xlfn.XLOOKUP(orders!C794,customers!$A$1:$A$1001,customers!$G$1:$G$1001,0)</f>
        <v>United Kingdom</v>
      </c>
      <c r="I794" t="str">
        <f>_xlfn.XLOOKUP(D794,products!$A$2:$A$49,products!$B$2:$B$49,0)</f>
        <v>Lib</v>
      </c>
      <c r="J794" t="str">
        <f>_xlfn.XLOOKUP(D794,products!$A$2:$A$49,products!$C$2:$C$49,0)</f>
        <v>M</v>
      </c>
      <c r="K794" s="4">
        <f>_xlfn.XLOOKUP(D794,products!$A$2:$A$49,products!$D$2:$D$49,0)</f>
        <v>0.5</v>
      </c>
      <c r="L794" s="5">
        <f>_xlfn.XLOOKUP(D794,products!$A$2:$A$49,products!$E$2:$E$49,0)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_xlfn.XLOOKUP(orders!C795,customers!$A$1:$A$1001,customers!$G$1:$G$1001,0)</f>
        <v>United States</v>
      </c>
      <c r="I795" t="str">
        <f>_xlfn.XLOOKUP(D795,products!$A$2:$A$49,products!$B$2:$B$49,0)</f>
        <v>Rob</v>
      </c>
      <c r="J795" t="str">
        <f>_xlfn.XLOOKUP(D795,products!$A$2:$A$49,products!$C$2:$C$49,0)</f>
        <v>L</v>
      </c>
      <c r="K795" s="4">
        <f>_xlfn.XLOOKUP(D795,products!$A$2:$A$49,products!$D$2:$D$49,0)</f>
        <v>0.2</v>
      </c>
      <c r="L795" s="5">
        <f>_xlfn.XLOOKUP(D795,products!$A$2:$A$49,products!$E$2:$E$49,0)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_xlfn.XLOOKUP(orders!C796,customers!$A$1:$A$1001,customers!$G$1:$G$1001,0)</f>
        <v>United States</v>
      </c>
      <c r="I796" t="str">
        <f>_xlfn.XLOOKUP(D796,products!$A$2:$A$49,products!$B$2:$B$49,0)</f>
        <v>Ara</v>
      </c>
      <c r="J796" t="str">
        <f>_xlfn.XLOOKUP(D796,products!$A$2:$A$49,products!$C$2:$C$49,0)</f>
        <v>L</v>
      </c>
      <c r="K796" s="4">
        <f>_xlfn.XLOOKUP(D796,products!$A$2:$A$49,products!$D$2:$D$49,0)</f>
        <v>2.5</v>
      </c>
      <c r="L796" s="5">
        <f>_xlfn.XLOOKUP(D796,products!$A$2:$A$49,products!$E$2:$E$49,0)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_xlfn.XLOOKUP(orders!C797,customers!$A$1:$A$1001,customers!$G$1:$G$1001,0)</f>
        <v>United States</v>
      </c>
      <c r="I797" t="str">
        <f>_xlfn.XLOOKUP(D797,products!$A$2:$A$49,products!$B$2:$B$49,0)</f>
        <v>Rob</v>
      </c>
      <c r="J797" t="str">
        <f>_xlfn.XLOOKUP(D797,products!$A$2:$A$49,products!$C$2:$C$49,0)</f>
        <v>L</v>
      </c>
      <c r="K797" s="4">
        <f>_xlfn.XLOOKUP(D797,products!$A$2:$A$49,products!$D$2:$D$49,0)</f>
        <v>0.5</v>
      </c>
      <c r="L797" s="5">
        <f>_xlfn.XLOOKUP(D797,products!$A$2:$A$49,products!$E$2:$E$49,0)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_xlfn.XLOOKUP(orders!C798,customers!$A$1:$A$1001,customers!$G$1:$G$1001,0)</f>
        <v>United States</v>
      </c>
      <c r="I798" t="str">
        <f>_xlfn.XLOOKUP(D798,products!$A$2:$A$49,products!$B$2:$B$49,0)</f>
        <v>Lib</v>
      </c>
      <c r="J798" t="str">
        <f>_xlfn.XLOOKUP(D798,products!$A$2:$A$49,products!$C$2:$C$49,0)</f>
        <v>L</v>
      </c>
      <c r="K798" s="4">
        <f>_xlfn.XLOOKUP(D798,products!$A$2:$A$49,products!$D$2:$D$49,0)</f>
        <v>0.5</v>
      </c>
      <c r="L798" s="5">
        <f>_xlfn.XLOOKUP(D798,products!$A$2:$A$49,products!$E$2:$E$49,0)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_xlfn.XLOOKUP(orders!C799,customers!$A$1:$A$1001,customers!$G$1:$G$1001,0)</f>
        <v>United States</v>
      </c>
      <c r="I799" t="str">
        <f>_xlfn.XLOOKUP(D799,products!$A$2:$A$49,products!$B$2:$B$49,0)</f>
        <v>Ara</v>
      </c>
      <c r="J799" t="str">
        <f>_xlfn.XLOOKUP(D799,products!$A$2:$A$49,products!$C$2:$C$49,0)</f>
        <v>L</v>
      </c>
      <c r="K799" s="4">
        <f>_xlfn.XLOOKUP(D799,products!$A$2:$A$49,products!$D$2:$D$49,0)</f>
        <v>0.5</v>
      </c>
      <c r="L799" s="5">
        <f>_xlfn.XLOOKUP(D799,products!$A$2:$A$49,products!$E$2:$E$49,0)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_xlfn.XLOOKUP(orders!C800,customers!$A$1:$A$1001,customers!$G$1:$G$1001,0)</f>
        <v>United States</v>
      </c>
      <c r="I800" t="str">
        <f>_xlfn.XLOOKUP(D800,products!$A$2:$A$49,products!$B$2:$B$49,0)</f>
        <v>Rob</v>
      </c>
      <c r="J800" t="str">
        <f>_xlfn.XLOOKUP(D800,products!$A$2:$A$49,products!$C$2:$C$49,0)</f>
        <v>D</v>
      </c>
      <c r="K800" s="4">
        <f>_xlfn.XLOOKUP(D800,products!$A$2:$A$49,products!$D$2:$D$49,0)</f>
        <v>0.2</v>
      </c>
      <c r="L800" s="5">
        <f>_xlfn.XLOOKUP(D800,products!$A$2:$A$49,products!$E$2:$E$49,0)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_xlfn.XLOOKUP(orders!C801,customers!$A$1:$A$1001,customers!$G$1:$G$1001,0)</f>
        <v>United States</v>
      </c>
      <c r="I801" t="str">
        <f>_xlfn.XLOOKUP(D801,products!$A$2:$A$49,products!$B$2:$B$49,0)</f>
        <v>Exc</v>
      </c>
      <c r="J801" t="str">
        <f>_xlfn.XLOOKUP(D801,products!$A$2:$A$49,products!$C$2:$C$49,0)</f>
        <v>D</v>
      </c>
      <c r="K801" s="4">
        <f>_xlfn.XLOOKUP(D801,products!$A$2:$A$49,products!$D$2:$D$49,0)</f>
        <v>1</v>
      </c>
      <c r="L801" s="5">
        <f>_xlfn.XLOOKUP(D801,products!$A$2:$A$49,products!$E$2:$E$49,0)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_xlfn.XLOOKUP(orders!C802,customers!$A$1:$A$1001,customers!$G$1:$G$1001,0)</f>
        <v>Ireland</v>
      </c>
      <c r="I802" t="str">
        <f>_xlfn.XLOOKUP(D802,products!$A$2:$A$49,products!$B$2:$B$49,0)</f>
        <v>Rob</v>
      </c>
      <c r="J802" t="str">
        <f>_xlfn.XLOOKUP(D802,products!$A$2:$A$49,products!$C$2:$C$49,0)</f>
        <v>D</v>
      </c>
      <c r="K802" s="4">
        <f>_xlfn.XLOOKUP(D802,products!$A$2:$A$49,products!$D$2:$D$49,0)</f>
        <v>0.2</v>
      </c>
      <c r="L802" s="5">
        <f>_xlfn.XLOOKUP(D802,products!$A$2:$A$49,products!$E$2:$E$49,0)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_xlfn.XLOOKUP(orders!C803,customers!$A$1:$A$1001,customers!$G$1:$G$1001,0)</f>
        <v>United States</v>
      </c>
      <c r="I803" t="str">
        <f>_xlfn.XLOOKUP(D803,products!$A$2:$A$49,products!$B$2:$B$49,0)</f>
        <v>Rob</v>
      </c>
      <c r="J803" t="str">
        <f>_xlfn.XLOOKUP(D803,products!$A$2:$A$49,products!$C$2:$C$49,0)</f>
        <v>D</v>
      </c>
      <c r="K803" s="4">
        <f>_xlfn.XLOOKUP(D803,products!$A$2:$A$49,products!$D$2:$D$49,0)</f>
        <v>2.5</v>
      </c>
      <c r="L803" s="5">
        <f>_xlfn.XLOOKUP(D803,products!$A$2:$A$49,products!$E$2:$E$49,0)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_xlfn.XLOOKUP(orders!C804,customers!$A$1:$A$1001,customers!$G$1:$G$1001,0)</f>
        <v>United States</v>
      </c>
      <c r="I804" t="str">
        <f>_xlfn.XLOOKUP(D804,products!$A$2:$A$49,products!$B$2:$B$49,0)</f>
        <v>Rob</v>
      </c>
      <c r="J804" t="str">
        <f>_xlfn.XLOOKUP(D804,products!$A$2:$A$49,products!$C$2:$C$49,0)</f>
        <v>D</v>
      </c>
      <c r="K804" s="4">
        <f>_xlfn.XLOOKUP(D804,products!$A$2:$A$49,products!$D$2:$D$49,0)</f>
        <v>0.2</v>
      </c>
      <c r="L804" s="5">
        <f>_xlfn.XLOOKUP(D804,products!$A$2:$A$49,products!$E$2:$E$49,0)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_xlfn.XLOOKUP(orders!C805,customers!$A$1:$A$1001,customers!$G$1:$G$1001,0)</f>
        <v>United States</v>
      </c>
      <c r="I805" t="str">
        <f>_xlfn.XLOOKUP(D805,products!$A$2:$A$49,products!$B$2:$B$49,0)</f>
        <v>Exc</v>
      </c>
      <c r="J805" t="str">
        <f>_xlfn.XLOOKUP(D805,products!$A$2:$A$49,products!$C$2:$C$49,0)</f>
        <v>M</v>
      </c>
      <c r="K805" s="4">
        <f>_xlfn.XLOOKUP(D805,products!$A$2:$A$49,products!$D$2:$D$49,0)</f>
        <v>2.5</v>
      </c>
      <c r="L805" s="5">
        <f>_xlfn.XLOOKUP(D805,products!$A$2:$A$49,products!$E$2:$E$49,0)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_xlfn.XLOOKUP(orders!C806,customers!$A$1:$A$1001,customers!$G$1:$G$1001,0)</f>
        <v>United Kingdom</v>
      </c>
      <c r="I806" t="str">
        <f>_xlfn.XLOOKUP(D806,products!$A$2:$A$49,products!$B$2:$B$49,0)</f>
        <v>Rob</v>
      </c>
      <c r="J806" t="str">
        <f>_xlfn.XLOOKUP(D806,products!$A$2:$A$49,products!$C$2:$C$49,0)</f>
        <v>L</v>
      </c>
      <c r="K806" s="4">
        <f>_xlfn.XLOOKUP(D806,products!$A$2:$A$49,products!$D$2:$D$49,0)</f>
        <v>1</v>
      </c>
      <c r="L806" s="5">
        <f>_xlfn.XLOOKUP(D806,products!$A$2:$A$49,products!$E$2:$E$49,0)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_xlfn.XLOOKUP(orders!C807,customers!$A$1:$A$1001,customers!$G$1:$G$1001,0)</f>
        <v>United States</v>
      </c>
      <c r="I807" t="str">
        <f>_xlfn.XLOOKUP(D807,products!$A$2:$A$49,products!$B$2:$B$49,0)</f>
        <v>Rob</v>
      </c>
      <c r="J807" t="str">
        <f>_xlfn.XLOOKUP(D807,products!$A$2:$A$49,products!$C$2:$C$49,0)</f>
        <v>M</v>
      </c>
      <c r="K807" s="4">
        <f>_xlfn.XLOOKUP(D807,products!$A$2:$A$49,products!$D$2:$D$49,0)</f>
        <v>0.5</v>
      </c>
      <c r="L807" s="5">
        <f>_xlfn.XLOOKUP(D807,products!$A$2:$A$49,products!$E$2:$E$49,0)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_xlfn.XLOOKUP(orders!C808,customers!$A$1:$A$1001,customers!$G$1:$G$1001,0)</f>
        <v>United Kingdom</v>
      </c>
      <c r="I808" t="str">
        <f>_xlfn.XLOOKUP(D808,products!$A$2:$A$49,products!$B$2:$B$49,0)</f>
        <v>Lib</v>
      </c>
      <c r="J808" t="str">
        <f>_xlfn.XLOOKUP(D808,products!$A$2:$A$49,products!$C$2:$C$49,0)</f>
        <v>D</v>
      </c>
      <c r="K808" s="4">
        <f>_xlfn.XLOOKUP(D808,products!$A$2:$A$49,products!$D$2:$D$49,0)</f>
        <v>0.2</v>
      </c>
      <c r="L808" s="5">
        <f>_xlfn.XLOOKUP(D808,products!$A$2:$A$49,products!$E$2:$E$49,0)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_xlfn.XLOOKUP(orders!C809,customers!$A$1:$A$1001,customers!$G$1:$G$1001,0)</f>
        <v>Ireland</v>
      </c>
      <c r="I809" t="str">
        <f>_xlfn.XLOOKUP(D809,products!$A$2:$A$49,products!$B$2:$B$49,0)</f>
        <v>Lib</v>
      </c>
      <c r="J809" t="str">
        <f>_xlfn.XLOOKUP(D809,products!$A$2:$A$49,products!$C$2:$C$49,0)</f>
        <v>D</v>
      </c>
      <c r="K809" s="4">
        <f>_xlfn.XLOOKUP(D809,products!$A$2:$A$49,products!$D$2:$D$49,0)</f>
        <v>0.5</v>
      </c>
      <c r="L809" s="5">
        <f>_xlfn.XLOOKUP(D809,products!$A$2:$A$49,products!$E$2:$E$49,0)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_xlfn.XLOOKUP(orders!C810,customers!$A$1:$A$1001,customers!$G$1:$G$1001,0)</f>
        <v>United States</v>
      </c>
      <c r="I810" t="str">
        <f>_xlfn.XLOOKUP(D810,products!$A$2:$A$49,products!$B$2:$B$49,0)</f>
        <v>Rob</v>
      </c>
      <c r="J810" t="str">
        <f>_xlfn.XLOOKUP(D810,products!$A$2:$A$49,products!$C$2:$C$49,0)</f>
        <v>L</v>
      </c>
      <c r="K810" s="4">
        <f>_xlfn.XLOOKUP(D810,products!$A$2:$A$49,products!$D$2:$D$49,0)</f>
        <v>2.5</v>
      </c>
      <c r="L810" s="5">
        <f>_xlfn.XLOOKUP(D810,products!$A$2:$A$49,products!$E$2:$E$49,0)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_xlfn.XLOOKUP(orders!C811,customers!$A$1:$A$1001,customers!$G$1:$G$1001,0)</f>
        <v>United States</v>
      </c>
      <c r="I811" t="str">
        <f>_xlfn.XLOOKUP(D811,products!$A$2:$A$49,products!$B$2:$B$49,0)</f>
        <v>Rob</v>
      </c>
      <c r="J811" t="str">
        <f>_xlfn.XLOOKUP(D811,products!$A$2:$A$49,products!$C$2:$C$49,0)</f>
        <v>D</v>
      </c>
      <c r="K811" s="4">
        <f>_xlfn.XLOOKUP(D811,products!$A$2:$A$49,products!$D$2:$D$49,0)</f>
        <v>0.2</v>
      </c>
      <c r="L811" s="5">
        <f>_xlfn.XLOOKUP(D811,products!$A$2:$A$49,products!$E$2:$E$49,0)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_xlfn.XLOOKUP(orders!C812,customers!$A$1:$A$1001,customers!$G$1:$G$1001,0)</f>
        <v>United States</v>
      </c>
      <c r="I812" t="str">
        <f>_xlfn.XLOOKUP(D812,products!$A$2:$A$49,products!$B$2:$B$49,0)</f>
        <v>Lib</v>
      </c>
      <c r="J812" t="str">
        <f>_xlfn.XLOOKUP(D812,products!$A$2:$A$49,products!$C$2:$C$49,0)</f>
        <v>L</v>
      </c>
      <c r="K812" s="4">
        <f>_xlfn.XLOOKUP(D812,products!$A$2:$A$49,products!$D$2:$D$49,0)</f>
        <v>0.5</v>
      </c>
      <c r="L812" s="5">
        <f>_xlfn.XLOOKUP(D812,products!$A$2:$A$49,products!$E$2:$E$49,0)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_xlfn.XLOOKUP(orders!C813,customers!$A$1:$A$1001,customers!$G$1:$G$1001,0)</f>
        <v>Ireland</v>
      </c>
      <c r="I813" t="str">
        <f>_xlfn.XLOOKUP(D813,products!$A$2:$A$49,products!$B$2:$B$49,0)</f>
        <v>Ara</v>
      </c>
      <c r="J813" t="str">
        <f>_xlfn.XLOOKUP(D813,products!$A$2:$A$49,products!$C$2:$C$49,0)</f>
        <v>M</v>
      </c>
      <c r="K813" s="4">
        <f>_xlfn.XLOOKUP(D813,products!$A$2:$A$49,products!$D$2:$D$49,0)</f>
        <v>1</v>
      </c>
      <c r="L813" s="5">
        <f>_xlfn.XLOOKUP(D813,products!$A$2:$A$49,products!$E$2:$E$49,0)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_xlfn.XLOOKUP(orders!C814,customers!$A$1:$A$1001,customers!$G$1:$G$1001,0)</f>
        <v>Ireland</v>
      </c>
      <c r="I814" t="str">
        <f>_xlfn.XLOOKUP(D814,products!$A$2:$A$49,products!$B$2:$B$49,0)</f>
        <v>Lib</v>
      </c>
      <c r="J814" t="str">
        <f>_xlfn.XLOOKUP(D814,products!$A$2:$A$49,products!$C$2:$C$49,0)</f>
        <v>D</v>
      </c>
      <c r="K814" s="4">
        <f>_xlfn.XLOOKUP(D814,products!$A$2:$A$49,products!$D$2:$D$49,0)</f>
        <v>2.5</v>
      </c>
      <c r="L814" s="5">
        <f>_xlfn.XLOOKUP(D814,products!$A$2:$A$49,products!$E$2:$E$49,0)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_xlfn.XLOOKUP(orders!C815,customers!$A$1:$A$1001,customers!$G$1:$G$1001,0)</f>
        <v>United States</v>
      </c>
      <c r="I815" t="str">
        <f>_xlfn.XLOOKUP(D815,products!$A$2:$A$49,products!$B$2:$B$49,0)</f>
        <v>Exc</v>
      </c>
      <c r="J815" t="str">
        <f>_xlfn.XLOOKUP(D815,products!$A$2:$A$49,products!$C$2:$C$49,0)</f>
        <v>M</v>
      </c>
      <c r="K815" s="4">
        <f>_xlfn.XLOOKUP(D815,products!$A$2:$A$49,products!$D$2:$D$49,0)</f>
        <v>2.5</v>
      </c>
      <c r="L815" s="5">
        <f>_xlfn.XLOOKUP(D815,products!$A$2:$A$49,products!$E$2:$E$49,0)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_xlfn.XLOOKUP(orders!C816,customers!$A$1:$A$1001,customers!$G$1:$G$1001,0)</f>
        <v>United States</v>
      </c>
      <c r="I816" t="str">
        <f>_xlfn.XLOOKUP(D816,products!$A$2:$A$49,products!$B$2:$B$49,0)</f>
        <v>Exc</v>
      </c>
      <c r="J816" t="str">
        <f>_xlfn.XLOOKUP(D816,products!$A$2:$A$49,products!$C$2:$C$49,0)</f>
        <v>L</v>
      </c>
      <c r="K816" s="4">
        <f>_xlfn.XLOOKUP(D816,products!$A$2:$A$49,products!$D$2:$D$49,0)</f>
        <v>0.2</v>
      </c>
      <c r="L816" s="5">
        <f>_xlfn.XLOOKUP(D816,products!$A$2:$A$49,products!$E$2:$E$49,0)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_xlfn.XLOOKUP(orders!C817,customers!$A$1:$A$1001,customers!$G$1:$G$1001,0)</f>
        <v>United States</v>
      </c>
      <c r="I817" t="str">
        <f>_xlfn.XLOOKUP(D817,products!$A$2:$A$49,products!$B$2:$B$49,0)</f>
        <v>Rob</v>
      </c>
      <c r="J817" t="str">
        <f>_xlfn.XLOOKUP(D817,products!$A$2:$A$49,products!$C$2:$C$49,0)</f>
        <v>M</v>
      </c>
      <c r="K817" s="4">
        <f>_xlfn.XLOOKUP(D817,products!$A$2:$A$49,products!$D$2:$D$49,0)</f>
        <v>0.5</v>
      </c>
      <c r="L817" s="5">
        <f>_xlfn.XLOOKUP(D817,products!$A$2:$A$49,products!$E$2:$E$49,0)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_xlfn.XLOOKUP(orders!C818,customers!$A$1:$A$1001,customers!$G$1:$G$1001,0)</f>
        <v>Ireland</v>
      </c>
      <c r="I818" t="str">
        <f>_xlfn.XLOOKUP(D818,products!$A$2:$A$49,products!$B$2:$B$49,0)</f>
        <v>Lib</v>
      </c>
      <c r="J818" t="str">
        <f>_xlfn.XLOOKUP(D818,products!$A$2:$A$49,products!$C$2:$C$49,0)</f>
        <v>L</v>
      </c>
      <c r="K818" s="4">
        <f>_xlfn.XLOOKUP(D818,products!$A$2:$A$49,products!$D$2:$D$49,0)</f>
        <v>0.5</v>
      </c>
      <c r="L818" s="5">
        <f>_xlfn.XLOOKUP(D818,products!$A$2:$A$49,products!$E$2:$E$49,0)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_xlfn.XLOOKUP(orders!C819,customers!$A$1:$A$1001,customers!$G$1:$G$1001,0)</f>
        <v>United States</v>
      </c>
      <c r="I819" t="str">
        <f>_xlfn.XLOOKUP(D819,products!$A$2:$A$49,products!$B$2:$B$49,0)</f>
        <v>Lib</v>
      </c>
      <c r="J819" t="str">
        <f>_xlfn.XLOOKUP(D819,products!$A$2:$A$49,products!$C$2:$C$49,0)</f>
        <v>D</v>
      </c>
      <c r="K819" s="4">
        <f>_xlfn.XLOOKUP(D819,products!$A$2:$A$49,products!$D$2:$D$49,0)</f>
        <v>0.5</v>
      </c>
      <c r="L819" s="5">
        <f>_xlfn.XLOOKUP(D819,products!$A$2:$A$49,products!$E$2:$E$49,0)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_xlfn.XLOOKUP(orders!C820,customers!$A$1:$A$1001,customers!$G$1:$G$1001,0)</f>
        <v>United States</v>
      </c>
      <c r="I820" t="str">
        <f>_xlfn.XLOOKUP(D820,products!$A$2:$A$49,products!$B$2:$B$49,0)</f>
        <v>Lib</v>
      </c>
      <c r="J820" t="str">
        <f>_xlfn.XLOOKUP(D820,products!$A$2:$A$49,products!$C$2:$C$49,0)</f>
        <v>L</v>
      </c>
      <c r="K820" s="4">
        <f>_xlfn.XLOOKUP(D820,products!$A$2:$A$49,products!$D$2:$D$49,0)</f>
        <v>1</v>
      </c>
      <c r="L820" s="5">
        <f>_xlfn.XLOOKUP(D820,products!$A$2:$A$49,products!$E$2:$E$49,0)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_xlfn.XLOOKUP(orders!C821,customers!$A$1:$A$1001,customers!$G$1:$G$1001,0)</f>
        <v>United States</v>
      </c>
      <c r="I821" t="str">
        <f>_xlfn.XLOOKUP(D821,products!$A$2:$A$49,products!$B$2:$B$49,0)</f>
        <v>Lib</v>
      </c>
      <c r="J821" t="str">
        <f>_xlfn.XLOOKUP(D821,products!$A$2:$A$49,products!$C$2:$C$49,0)</f>
        <v>L</v>
      </c>
      <c r="K821" s="4">
        <f>_xlfn.XLOOKUP(D821,products!$A$2:$A$49,products!$D$2:$D$49,0)</f>
        <v>0.2</v>
      </c>
      <c r="L821" s="5">
        <f>_xlfn.XLOOKUP(D821,products!$A$2:$A$49,products!$E$2:$E$49,0)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_xlfn.XLOOKUP(orders!C822,customers!$A$1:$A$1001,customers!$G$1:$G$1001,0)</f>
        <v>United States</v>
      </c>
      <c r="I822" t="str">
        <f>_xlfn.XLOOKUP(D822,products!$A$2:$A$49,products!$B$2:$B$49,0)</f>
        <v>Exc</v>
      </c>
      <c r="J822" t="str">
        <f>_xlfn.XLOOKUP(D822,products!$A$2:$A$49,products!$C$2:$C$49,0)</f>
        <v>M</v>
      </c>
      <c r="K822" s="4">
        <f>_xlfn.XLOOKUP(D822,products!$A$2:$A$49,products!$D$2:$D$49,0)</f>
        <v>1</v>
      </c>
      <c r="L822" s="5">
        <f>_xlfn.XLOOKUP(D822,products!$A$2:$A$49,products!$E$2:$E$49,0)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_xlfn.XLOOKUP(orders!C823,customers!$A$1:$A$1001,customers!$G$1:$G$1001,0)</f>
        <v>United States</v>
      </c>
      <c r="I823" t="str">
        <f>_xlfn.XLOOKUP(D823,products!$A$2:$A$49,products!$B$2:$B$49,0)</f>
        <v>Rob</v>
      </c>
      <c r="J823" t="str">
        <f>_xlfn.XLOOKUP(D823,products!$A$2:$A$49,products!$C$2:$C$49,0)</f>
        <v>D</v>
      </c>
      <c r="K823" s="4">
        <f>_xlfn.XLOOKUP(D823,products!$A$2:$A$49,products!$D$2:$D$49,0)</f>
        <v>0.5</v>
      </c>
      <c r="L823" s="5">
        <f>_xlfn.XLOOKUP(D823,products!$A$2:$A$49,products!$E$2:$E$49,0)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_xlfn.XLOOKUP(orders!C824,customers!$A$1:$A$1001,customers!$G$1:$G$1001,0)</f>
        <v>United States</v>
      </c>
      <c r="I824" t="str">
        <f>_xlfn.XLOOKUP(D824,products!$A$2:$A$49,products!$B$2:$B$49,0)</f>
        <v>Exc</v>
      </c>
      <c r="J824" t="str">
        <f>_xlfn.XLOOKUP(D824,products!$A$2:$A$49,products!$C$2:$C$49,0)</f>
        <v>L</v>
      </c>
      <c r="K824" s="4">
        <f>_xlfn.XLOOKUP(D824,products!$A$2:$A$49,products!$D$2:$D$49,0)</f>
        <v>2.5</v>
      </c>
      <c r="L824" s="5">
        <f>_xlfn.XLOOKUP(D824,products!$A$2:$A$49,products!$E$2:$E$49,0)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_xlfn.XLOOKUP(orders!C825,customers!$A$1:$A$1001,customers!$G$1:$G$1001,0)</f>
        <v>United States</v>
      </c>
      <c r="I825" t="str">
        <f>_xlfn.XLOOKUP(D825,products!$A$2:$A$49,products!$B$2:$B$49,0)</f>
        <v>Lib</v>
      </c>
      <c r="J825" t="str">
        <f>_xlfn.XLOOKUP(D825,products!$A$2:$A$49,products!$C$2:$C$49,0)</f>
        <v>L</v>
      </c>
      <c r="K825" s="4">
        <f>_xlfn.XLOOKUP(D825,products!$A$2:$A$49,products!$D$2:$D$49,0)</f>
        <v>1</v>
      </c>
      <c r="L825" s="5">
        <f>_xlfn.XLOOKUP(D825,products!$A$2:$A$49,products!$E$2:$E$49,0)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_xlfn.XLOOKUP(orders!C826,customers!$A$1:$A$1001,customers!$G$1:$G$1001,0)</f>
        <v>United States</v>
      </c>
      <c r="I826" t="str">
        <f>_xlfn.XLOOKUP(D826,products!$A$2:$A$49,products!$B$2:$B$49,0)</f>
        <v>Ara</v>
      </c>
      <c r="J826" t="str">
        <f>_xlfn.XLOOKUP(D826,products!$A$2:$A$49,products!$C$2:$C$49,0)</f>
        <v>M</v>
      </c>
      <c r="K826" s="4">
        <f>_xlfn.XLOOKUP(D826,products!$A$2:$A$49,products!$D$2:$D$49,0)</f>
        <v>0.2</v>
      </c>
      <c r="L826" s="5">
        <f>_xlfn.XLOOKUP(D826,products!$A$2:$A$49,products!$E$2:$E$49,0)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_xlfn.XLOOKUP(orders!C827,customers!$A$1:$A$1001,customers!$G$1:$G$1001,0)</f>
        <v>United States</v>
      </c>
      <c r="I827" t="str">
        <f>_xlfn.XLOOKUP(D827,products!$A$2:$A$49,products!$B$2:$B$49,0)</f>
        <v>Ara</v>
      </c>
      <c r="J827" t="str">
        <f>_xlfn.XLOOKUP(D827,products!$A$2:$A$49,products!$C$2:$C$49,0)</f>
        <v>D</v>
      </c>
      <c r="K827" s="4">
        <f>_xlfn.XLOOKUP(D827,products!$A$2:$A$49,products!$D$2:$D$49,0)</f>
        <v>1</v>
      </c>
      <c r="L827" s="5">
        <f>_xlfn.XLOOKUP(D827,products!$A$2:$A$49,products!$E$2:$E$49,0)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_xlfn.XLOOKUP(orders!C828,customers!$A$1:$A$1001,customers!$G$1:$G$1001,0)</f>
        <v>United States</v>
      </c>
      <c r="I828" t="str">
        <f>_xlfn.XLOOKUP(D828,products!$A$2:$A$49,products!$B$2:$B$49,0)</f>
        <v>Exc</v>
      </c>
      <c r="J828" t="str">
        <f>_xlfn.XLOOKUP(D828,products!$A$2:$A$49,products!$C$2:$C$49,0)</f>
        <v>M</v>
      </c>
      <c r="K828" s="4">
        <f>_xlfn.XLOOKUP(D828,products!$A$2:$A$49,products!$D$2:$D$49,0)</f>
        <v>0.5</v>
      </c>
      <c r="L828" s="5">
        <f>_xlfn.XLOOKUP(D828,products!$A$2:$A$49,products!$E$2:$E$49,0)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_xlfn.XLOOKUP(orders!C829,customers!$A$1:$A$1001,customers!$G$1:$G$1001,0)</f>
        <v>United States</v>
      </c>
      <c r="I829" t="str">
        <f>_xlfn.XLOOKUP(D829,products!$A$2:$A$49,products!$B$2:$B$49,0)</f>
        <v>Exc</v>
      </c>
      <c r="J829" t="str">
        <f>_xlfn.XLOOKUP(D829,products!$A$2:$A$49,products!$C$2:$C$49,0)</f>
        <v>M</v>
      </c>
      <c r="K829" s="4">
        <f>_xlfn.XLOOKUP(D829,products!$A$2:$A$49,products!$D$2:$D$49,0)</f>
        <v>0.2</v>
      </c>
      <c r="L829" s="5">
        <f>_xlfn.XLOOKUP(D829,products!$A$2:$A$49,products!$E$2:$E$49,0)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_xlfn.XLOOKUP(orders!C830,customers!$A$1:$A$1001,customers!$G$1:$G$1001,0)</f>
        <v>United States</v>
      </c>
      <c r="I830" t="str">
        <f>_xlfn.XLOOKUP(D830,products!$A$2:$A$49,products!$B$2:$B$49,0)</f>
        <v>Ara</v>
      </c>
      <c r="J830" t="str">
        <f>_xlfn.XLOOKUP(D830,products!$A$2:$A$49,products!$C$2:$C$49,0)</f>
        <v>D</v>
      </c>
      <c r="K830" s="4">
        <f>_xlfn.XLOOKUP(D830,products!$A$2:$A$49,products!$D$2:$D$49,0)</f>
        <v>2.5</v>
      </c>
      <c r="L830" s="5">
        <f>_xlfn.XLOOKUP(D830,products!$A$2:$A$49,products!$E$2:$E$49,0)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_xlfn.XLOOKUP(orders!C831,customers!$A$1:$A$1001,customers!$G$1:$G$1001,0)</f>
        <v>United States</v>
      </c>
      <c r="I831" t="str">
        <f>_xlfn.XLOOKUP(D831,products!$A$2:$A$49,products!$B$2:$B$49,0)</f>
        <v>Ara</v>
      </c>
      <c r="J831" t="str">
        <f>_xlfn.XLOOKUP(D831,products!$A$2:$A$49,products!$C$2:$C$49,0)</f>
        <v>D</v>
      </c>
      <c r="K831" s="4">
        <f>_xlfn.XLOOKUP(D831,products!$A$2:$A$49,products!$D$2:$D$49,0)</f>
        <v>0.2</v>
      </c>
      <c r="L831" s="5">
        <f>_xlfn.XLOOKUP(D831,products!$A$2:$A$49,products!$E$2:$E$49,0)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_xlfn.XLOOKUP(orders!C832,customers!$A$1:$A$1001,customers!$G$1:$G$1001,0)</f>
        <v>United States</v>
      </c>
      <c r="I832" t="str">
        <f>_xlfn.XLOOKUP(D832,products!$A$2:$A$49,products!$B$2:$B$49,0)</f>
        <v>Exc</v>
      </c>
      <c r="J832" t="str">
        <f>_xlfn.XLOOKUP(D832,products!$A$2:$A$49,products!$C$2:$C$49,0)</f>
        <v>M</v>
      </c>
      <c r="K832" s="4">
        <f>_xlfn.XLOOKUP(D832,products!$A$2:$A$49,products!$D$2:$D$49,0)</f>
        <v>1</v>
      </c>
      <c r="L832" s="5">
        <f>_xlfn.XLOOKUP(D832,products!$A$2:$A$49,products!$E$2:$E$49,0)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_xlfn.XLOOKUP(orders!C833,customers!$A$1:$A$1001,customers!$G$1:$G$1001,0)</f>
        <v>United States</v>
      </c>
      <c r="I833" t="str">
        <f>_xlfn.XLOOKUP(D833,products!$A$2:$A$49,products!$B$2:$B$49,0)</f>
        <v>Ara</v>
      </c>
      <c r="J833" t="str">
        <f>_xlfn.XLOOKUP(D833,products!$A$2:$A$49,products!$C$2:$C$49,0)</f>
        <v>D</v>
      </c>
      <c r="K833" s="4">
        <f>_xlfn.XLOOKUP(D833,products!$A$2:$A$49,products!$D$2:$D$49,0)</f>
        <v>0.2</v>
      </c>
      <c r="L833" s="5">
        <f>_xlfn.XLOOKUP(D833,products!$A$2:$A$49,products!$E$2:$E$49,0)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_xlfn.XLOOKUP(orders!C834,customers!$A$1:$A$1001,customers!$G$1:$G$1001,0)</f>
        <v>United States</v>
      </c>
      <c r="I834" t="str">
        <f>_xlfn.XLOOKUP(D834,products!$A$2:$A$49,products!$B$2:$B$49,0)</f>
        <v>Rob</v>
      </c>
      <c r="J834" t="str">
        <f>_xlfn.XLOOKUP(D834,products!$A$2:$A$49,products!$C$2:$C$49,0)</f>
        <v>M</v>
      </c>
      <c r="K834" s="4">
        <f>_xlfn.XLOOKUP(D834,products!$A$2:$A$49,products!$D$2:$D$49,0)</f>
        <v>1</v>
      </c>
      <c r="L834" s="5">
        <f>_xlfn.XLOOKUP(D834,products!$A$2:$A$49,products!$E$2:$E$49,0)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_xlfn.XLOOKUP(orders!C835,customers!$A$1:$A$1001,customers!$G$1:$G$1001,0)</f>
        <v>United States</v>
      </c>
      <c r="I835" t="str">
        <f>_xlfn.XLOOKUP(D835,products!$A$2:$A$49,products!$B$2:$B$49,0)</f>
        <v>Rob</v>
      </c>
      <c r="J835" t="str">
        <f>_xlfn.XLOOKUP(D835,products!$A$2:$A$49,products!$C$2:$C$49,0)</f>
        <v>D</v>
      </c>
      <c r="K835" s="4">
        <f>_xlfn.XLOOKUP(D835,products!$A$2:$A$49,products!$D$2:$D$49,0)</f>
        <v>2.5</v>
      </c>
      <c r="L835" s="5">
        <f>_xlfn.XLOOKUP(D835,products!$A$2:$A$49,products!$E$2:$E$49,0)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_xlfn.XLOOKUP(orders!C836,customers!$A$1:$A$1001,customers!$G$1:$G$1001,0)</f>
        <v>United States</v>
      </c>
      <c r="I836" t="str">
        <f>_xlfn.XLOOKUP(D836,products!$A$2:$A$49,products!$B$2:$B$49,0)</f>
        <v>Ara</v>
      </c>
      <c r="J836" t="str">
        <f>_xlfn.XLOOKUP(D836,products!$A$2:$A$49,products!$C$2:$C$49,0)</f>
        <v>D</v>
      </c>
      <c r="K836" s="4">
        <f>_xlfn.XLOOKUP(D836,products!$A$2:$A$49,products!$D$2:$D$49,0)</f>
        <v>2.5</v>
      </c>
      <c r="L836" s="5">
        <f>_xlfn.XLOOKUP(D836,products!$A$2:$A$49,products!$E$2:$E$49,0)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_xlfn.XLOOKUP(orders!C837,customers!$A$1:$A$1001,customers!$G$1:$G$1001,0)</f>
        <v>United States</v>
      </c>
      <c r="I837" t="str">
        <f>_xlfn.XLOOKUP(D837,products!$A$2:$A$49,products!$B$2:$B$49,0)</f>
        <v>Exc</v>
      </c>
      <c r="J837" t="str">
        <f>_xlfn.XLOOKUP(D837,products!$A$2:$A$49,products!$C$2:$C$49,0)</f>
        <v>L</v>
      </c>
      <c r="K837" s="4">
        <f>_xlfn.XLOOKUP(D837,products!$A$2:$A$49,products!$D$2:$D$49,0)</f>
        <v>0.5</v>
      </c>
      <c r="L837" s="5">
        <f>_xlfn.XLOOKUP(D837,products!$A$2:$A$49,products!$E$2:$E$49,0)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_xlfn.XLOOKUP(orders!C838,customers!$A$1:$A$1001,customers!$G$1:$G$1001,0)</f>
        <v>United States</v>
      </c>
      <c r="I838" t="str">
        <f>_xlfn.XLOOKUP(D838,products!$A$2:$A$49,products!$B$2:$B$49,0)</f>
        <v>Ara</v>
      </c>
      <c r="J838" t="str">
        <f>_xlfn.XLOOKUP(D838,products!$A$2:$A$49,products!$C$2:$C$49,0)</f>
        <v>D</v>
      </c>
      <c r="K838" s="4">
        <f>_xlfn.XLOOKUP(D838,products!$A$2:$A$49,products!$D$2:$D$49,0)</f>
        <v>0.2</v>
      </c>
      <c r="L838" s="5">
        <f>_xlfn.XLOOKUP(D838,products!$A$2:$A$49,products!$E$2:$E$49,0)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_xlfn.XLOOKUP(orders!C839,customers!$A$1:$A$1001,customers!$G$1:$G$1001,0)</f>
        <v>United States</v>
      </c>
      <c r="I839" t="str">
        <f>_xlfn.XLOOKUP(D839,products!$A$2:$A$49,products!$B$2:$B$49,0)</f>
        <v>Lib</v>
      </c>
      <c r="J839" t="str">
        <f>_xlfn.XLOOKUP(D839,products!$A$2:$A$49,products!$C$2:$C$49,0)</f>
        <v>M</v>
      </c>
      <c r="K839" s="4">
        <f>_xlfn.XLOOKUP(D839,products!$A$2:$A$49,products!$D$2:$D$49,0)</f>
        <v>2.5</v>
      </c>
      <c r="L839" s="5">
        <f>_xlfn.XLOOKUP(D839,products!$A$2:$A$49,products!$E$2:$E$49,0)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_xlfn.XLOOKUP(orders!C840,customers!$A$1:$A$1001,customers!$G$1:$G$1001,0)</f>
        <v>United States</v>
      </c>
      <c r="I840" t="str">
        <f>_xlfn.XLOOKUP(D840,products!$A$2:$A$49,products!$B$2:$B$49,0)</f>
        <v>Ara</v>
      </c>
      <c r="J840" t="str">
        <f>_xlfn.XLOOKUP(D840,products!$A$2:$A$49,products!$C$2:$C$49,0)</f>
        <v>D</v>
      </c>
      <c r="K840" s="4">
        <f>_xlfn.XLOOKUP(D840,products!$A$2:$A$49,products!$D$2:$D$49,0)</f>
        <v>2.5</v>
      </c>
      <c r="L840" s="5">
        <f>_xlfn.XLOOKUP(D840,products!$A$2:$A$49,products!$E$2:$E$49,0)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_xlfn.XLOOKUP(orders!C841,customers!$A$1:$A$1001,customers!$G$1:$G$1001,0)</f>
        <v>United States</v>
      </c>
      <c r="I841" t="str">
        <f>_xlfn.XLOOKUP(D841,products!$A$2:$A$49,products!$B$2:$B$49,0)</f>
        <v>Exc</v>
      </c>
      <c r="J841" t="str">
        <f>_xlfn.XLOOKUP(D841,products!$A$2:$A$49,products!$C$2:$C$49,0)</f>
        <v>M</v>
      </c>
      <c r="K841" s="4">
        <f>_xlfn.XLOOKUP(D841,products!$A$2:$A$49,products!$D$2:$D$49,0)</f>
        <v>0.5</v>
      </c>
      <c r="L841" s="5">
        <f>_xlfn.XLOOKUP(D841,products!$A$2:$A$49,products!$E$2:$E$49,0)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_xlfn.XLOOKUP(orders!C842,customers!$A$1:$A$1001,customers!$G$1:$G$1001,0)</f>
        <v>United States</v>
      </c>
      <c r="I842" t="str">
        <f>_xlfn.XLOOKUP(D842,products!$A$2:$A$49,products!$B$2:$B$49,0)</f>
        <v>Rob</v>
      </c>
      <c r="J842" t="str">
        <f>_xlfn.XLOOKUP(D842,products!$A$2:$A$49,products!$C$2:$C$49,0)</f>
        <v>L</v>
      </c>
      <c r="K842" s="4">
        <f>_xlfn.XLOOKUP(D842,products!$A$2:$A$49,products!$D$2:$D$49,0)</f>
        <v>0.5</v>
      </c>
      <c r="L842" s="5">
        <f>_xlfn.XLOOKUP(D842,products!$A$2:$A$49,products!$E$2:$E$49,0)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_xlfn.XLOOKUP(orders!C843,customers!$A$1:$A$1001,customers!$G$1:$G$1001,0)</f>
        <v>United States</v>
      </c>
      <c r="I843" t="str">
        <f>_xlfn.XLOOKUP(D843,products!$A$2:$A$49,products!$B$2:$B$49,0)</f>
        <v>Lib</v>
      </c>
      <c r="J843" t="str">
        <f>_xlfn.XLOOKUP(D843,products!$A$2:$A$49,products!$C$2:$C$49,0)</f>
        <v>M</v>
      </c>
      <c r="K843" s="4">
        <f>_xlfn.XLOOKUP(D843,products!$A$2:$A$49,products!$D$2:$D$49,0)</f>
        <v>0.2</v>
      </c>
      <c r="L843" s="5">
        <f>_xlfn.XLOOKUP(D843,products!$A$2:$A$49,products!$E$2:$E$49,0)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_xlfn.XLOOKUP(orders!C844,customers!$A$1:$A$1001,customers!$G$1:$G$1001,0)</f>
        <v>United States</v>
      </c>
      <c r="I844" t="str">
        <f>_xlfn.XLOOKUP(D844,products!$A$2:$A$49,products!$B$2:$B$49,0)</f>
        <v>Exc</v>
      </c>
      <c r="J844" t="str">
        <f>_xlfn.XLOOKUP(D844,products!$A$2:$A$49,products!$C$2:$C$49,0)</f>
        <v>M</v>
      </c>
      <c r="K844" s="4">
        <f>_xlfn.XLOOKUP(D844,products!$A$2:$A$49,products!$D$2:$D$49,0)</f>
        <v>0.2</v>
      </c>
      <c r="L844" s="5">
        <f>_xlfn.XLOOKUP(D844,products!$A$2:$A$49,products!$E$2:$E$49,0)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_xlfn.XLOOKUP(orders!C845,customers!$A$1:$A$1001,customers!$G$1:$G$1001,0)</f>
        <v>United States</v>
      </c>
      <c r="I845" t="str">
        <f>_xlfn.XLOOKUP(D845,products!$A$2:$A$49,products!$B$2:$B$49,0)</f>
        <v>Exc</v>
      </c>
      <c r="J845" t="str">
        <f>_xlfn.XLOOKUP(D845,products!$A$2:$A$49,products!$C$2:$C$49,0)</f>
        <v>M</v>
      </c>
      <c r="K845" s="4">
        <f>_xlfn.XLOOKUP(D845,products!$A$2:$A$49,products!$D$2:$D$49,0)</f>
        <v>0.2</v>
      </c>
      <c r="L845" s="5">
        <f>_xlfn.XLOOKUP(D845,products!$A$2:$A$49,products!$E$2:$E$49,0)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_xlfn.XLOOKUP(orders!C846,customers!$A$1:$A$1001,customers!$G$1:$G$1001,0)</f>
        <v>United States</v>
      </c>
      <c r="I846" t="str">
        <f>_xlfn.XLOOKUP(D846,products!$A$2:$A$49,products!$B$2:$B$49,0)</f>
        <v>Ara</v>
      </c>
      <c r="J846" t="str">
        <f>_xlfn.XLOOKUP(D846,products!$A$2:$A$49,products!$C$2:$C$49,0)</f>
        <v>D</v>
      </c>
      <c r="K846" s="4">
        <f>_xlfn.XLOOKUP(D846,products!$A$2:$A$49,products!$D$2:$D$49,0)</f>
        <v>0.5</v>
      </c>
      <c r="L846" s="5">
        <f>_xlfn.XLOOKUP(D846,products!$A$2:$A$49,products!$E$2:$E$49,0)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_xlfn.XLOOKUP(orders!C847,customers!$A$1:$A$1001,customers!$G$1:$G$1001,0)</f>
        <v>United States</v>
      </c>
      <c r="I847" t="str">
        <f>_xlfn.XLOOKUP(D847,products!$A$2:$A$49,products!$B$2:$B$49,0)</f>
        <v>Exc</v>
      </c>
      <c r="J847" t="str">
        <f>_xlfn.XLOOKUP(D847,products!$A$2:$A$49,products!$C$2:$C$49,0)</f>
        <v>D</v>
      </c>
      <c r="K847" s="4">
        <f>_xlfn.XLOOKUP(D847,products!$A$2:$A$49,products!$D$2:$D$49,0)</f>
        <v>2.5</v>
      </c>
      <c r="L847" s="5">
        <f>_xlfn.XLOOKUP(D847,products!$A$2:$A$49,products!$E$2:$E$49,0)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_xlfn.XLOOKUP(orders!C848,customers!$A$1:$A$1001,customers!$G$1:$G$1001,0)</f>
        <v>United States</v>
      </c>
      <c r="I848" t="str">
        <f>_xlfn.XLOOKUP(D848,products!$A$2:$A$49,products!$B$2:$B$49,0)</f>
        <v>Ara</v>
      </c>
      <c r="J848" t="str">
        <f>_xlfn.XLOOKUP(D848,products!$A$2:$A$49,products!$C$2:$C$49,0)</f>
        <v>M</v>
      </c>
      <c r="K848" s="4">
        <f>_xlfn.XLOOKUP(D848,products!$A$2:$A$49,products!$D$2:$D$49,0)</f>
        <v>2.5</v>
      </c>
      <c r="L848" s="5">
        <f>_xlfn.XLOOKUP(D848,products!$A$2:$A$49,products!$E$2:$E$49,0)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_xlfn.XLOOKUP(orders!C849,customers!$A$1:$A$1001,customers!$G$1:$G$1001,0)</f>
        <v>United States</v>
      </c>
      <c r="I849" t="str">
        <f>_xlfn.XLOOKUP(D849,products!$A$2:$A$49,products!$B$2:$B$49,0)</f>
        <v>Ara</v>
      </c>
      <c r="J849" t="str">
        <f>_xlfn.XLOOKUP(D849,products!$A$2:$A$49,products!$C$2:$C$49,0)</f>
        <v>D</v>
      </c>
      <c r="K849" s="4">
        <f>_xlfn.XLOOKUP(D849,products!$A$2:$A$49,products!$D$2:$D$49,0)</f>
        <v>0.2</v>
      </c>
      <c r="L849" s="5">
        <f>_xlfn.XLOOKUP(D849,products!$A$2:$A$49,products!$E$2:$E$49,0)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_xlfn.XLOOKUP(orders!C850,customers!$A$1:$A$1001,customers!$G$1:$G$1001,0)</f>
        <v>United States</v>
      </c>
      <c r="I850" t="str">
        <f>_xlfn.XLOOKUP(D850,products!$A$2:$A$49,products!$B$2:$B$49,0)</f>
        <v>Exc</v>
      </c>
      <c r="J850" t="str">
        <f>_xlfn.XLOOKUP(D850,products!$A$2:$A$49,products!$C$2:$C$49,0)</f>
        <v>L</v>
      </c>
      <c r="K850" s="4">
        <f>_xlfn.XLOOKUP(D850,products!$A$2:$A$49,products!$D$2:$D$49,0)</f>
        <v>0.5</v>
      </c>
      <c r="L850" s="5">
        <f>_xlfn.XLOOKUP(D850,products!$A$2:$A$49,products!$E$2:$E$49,0)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_xlfn.XLOOKUP(orders!C851,customers!$A$1:$A$1001,customers!$G$1:$G$1001,0)</f>
        <v>United States</v>
      </c>
      <c r="I851" t="str">
        <f>_xlfn.XLOOKUP(D851,products!$A$2:$A$49,products!$B$2:$B$49,0)</f>
        <v>Ara</v>
      </c>
      <c r="J851" t="str">
        <f>_xlfn.XLOOKUP(D851,products!$A$2:$A$49,products!$C$2:$C$49,0)</f>
        <v>L</v>
      </c>
      <c r="K851" s="4">
        <f>_xlfn.XLOOKUP(D851,products!$A$2:$A$49,products!$D$2:$D$49,0)</f>
        <v>0.2</v>
      </c>
      <c r="L851" s="5">
        <f>_xlfn.XLOOKUP(D851,products!$A$2:$A$49,products!$E$2:$E$49,0)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_xlfn.XLOOKUP(orders!C852,customers!$A$1:$A$1001,customers!$G$1:$G$1001,0)</f>
        <v>United States</v>
      </c>
      <c r="I852" t="str">
        <f>_xlfn.XLOOKUP(D852,products!$A$2:$A$49,products!$B$2:$B$49,0)</f>
        <v>Ara</v>
      </c>
      <c r="J852" t="str">
        <f>_xlfn.XLOOKUP(D852,products!$A$2:$A$49,products!$C$2:$C$49,0)</f>
        <v>M</v>
      </c>
      <c r="K852" s="4">
        <f>_xlfn.XLOOKUP(D852,products!$A$2:$A$49,products!$D$2:$D$49,0)</f>
        <v>0.2</v>
      </c>
      <c r="L852" s="5">
        <f>_xlfn.XLOOKUP(D852,products!$A$2:$A$49,products!$E$2:$E$49,0)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_xlfn.XLOOKUP(orders!C853,customers!$A$1:$A$1001,customers!$G$1:$G$1001,0)</f>
        <v>United States</v>
      </c>
      <c r="I853" t="str">
        <f>_xlfn.XLOOKUP(D853,products!$A$2:$A$49,products!$B$2:$B$49,0)</f>
        <v>Lib</v>
      </c>
      <c r="J853" t="str">
        <f>_xlfn.XLOOKUP(D853,products!$A$2:$A$49,products!$C$2:$C$49,0)</f>
        <v>D</v>
      </c>
      <c r="K853" s="4">
        <f>_xlfn.XLOOKUP(D853,products!$A$2:$A$49,products!$D$2:$D$49,0)</f>
        <v>0.5</v>
      </c>
      <c r="L853" s="5">
        <f>_xlfn.XLOOKUP(D853,products!$A$2:$A$49,products!$E$2:$E$49,0)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_xlfn.XLOOKUP(orders!C854,customers!$A$1:$A$1001,customers!$G$1:$G$1001,0)</f>
        <v>United States</v>
      </c>
      <c r="I854" t="str">
        <f>_xlfn.XLOOKUP(D854,products!$A$2:$A$49,products!$B$2:$B$49,0)</f>
        <v>Lib</v>
      </c>
      <c r="J854" t="str">
        <f>_xlfn.XLOOKUP(D854,products!$A$2:$A$49,products!$C$2:$C$49,0)</f>
        <v>D</v>
      </c>
      <c r="K854" s="4">
        <f>_xlfn.XLOOKUP(D854,products!$A$2:$A$49,products!$D$2:$D$49,0)</f>
        <v>2.5</v>
      </c>
      <c r="L854" s="5">
        <f>_xlfn.XLOOKUP(D854,products!$A$2:$A$49,products!$E$2:$E$49,0)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_xlfn.XLOOKUP(orders!C855,customers!$A$1:$A$1001,customers!$G$1:$G$1001,0)</f>
        <v>United States</v>
      </c>
      <c r="I855" t="str">
        <f>_xlfn.XLOOKUP(D855,products!$A$2:$A$49,products!$B$2:$B$49,0)</f>
        <v>Ara</v>
      </c>
      <c r="J855" t="str">
        <f>_xlfn.XLOOKUP(D855,products!$A$2:$A$49,products!$C$2:$C$49,0)</f>
        <v>D</v>
      </c>
      <c r="K855" s="4">
        <f>_xlfn.XLOOKUP(D855,products!$A$2:$A$49,products!$D$2:$D$49,0)</f>
        <v>1</v>
      </c>
      <c r="L855" s="5">
        <f>_xlfn.XLOOKUP(D855,products!$A$2:$A$49,products!$E$2:$E$49,0)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_xlfn.XLOOKUP(orders!C856,customers!$A$1:$A$1001,customers!$G$1:$G$1001,0)</f>
        <v>United States</v>
      </c>
      <c r="I856" t="str">
        <f>_xlfn.XLOOKUP(D856,products!$A$2:$A$49,products!$B$2:$B$49,0)</f>
        <v>Rob</v>
      </c>
      <c r="J856" t="str">
        <f>_xlfn.XLOOKUP(D856,products!$A$2:$A$49,products!$C$2:$C$49,0)</f>
        <v>L</v>
      </c>
      <c r="K856" s="4">
        <f>_xlfn.XLOOKUP(D856,products!$A$2:$A$49,products!$D$2:$D$49,0)</f>
        <v>0.5</v>
      </c>
      <c r="L856" s="5">
        <f>_xlfn.XLOOKUP(D856,products!$A$2:$A$49,products!$E$2:$E$49,0)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_xlfn.XLOOKUP(orders!C857,customers!$A$1:$A$1001,customers!$G$1:$G$1001,0)</f>
        <v>United States</v>
      </c>
      <c r="I857" t="str">
        <f>_xlfn.XLOOKUP(D857,products!$A$2:$A$49,products!$B$2:$B$49,0)</f>
        <v>Lib</v>
      </c>
      <c r="J857" t="str">
        <f>_xlfn.XLOOKUP(D857,products!$A$2:$A$49,products!$C$2:$C$49,0)</f>
        <v>D</v>
      </c>
      <c r="K857" s="4">
        <f>_xlfn.XLOOKUP(D857,products!$A$2:$A$49,products!$D$2:$D$49,0)</f>
        <v>2.5</v>
      </c>
      <c r="L857" s="5">
        <f>_xlfn.XLOOKUP(D857,products!$A$2:$A$49,products!$E$2:$E$49,0)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_xlfn.XLOOKUP(orders!C858,customers!$A$1:$A$1001,customers!$G$1:$G$1001,0)</f>
        <v>United States</v>
      </c>
      <c r="I858" t="str">
        <f>_xlfn.XLOOKUP(D858,products!$A$2:$A$49,products!$B$2:$B$49,0)</f>
        <v>Lib</v>
      </c>
      <c r="J858" t="str">
        <f>_xlfn.XLOOKUP(D858,products!$A$2:$A$49,products!$C$2:$C$49,0)</f>
        <v>M</v>
      </c>
      <c r="K858" s="4">
        <f>_xlfn.XLOOKUP(D858,products!$A$2:$A$49,products!$D$2:$D$49,0)</f>
        <v>0.2</v>
      </c>
      <c r="L858" s="5">
        <f>_xlfn.XLOOKUP(D858,products!$A$2:$A$49,products!$E$2:$E$49,0)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_xlfn.XLOOKUP(orders!C859,customers!$A$1:$A$1001,customers!$G$1:$G$1001,0)</f>
        <v>United States</v>
      </c>
      <c r="I859" t="str">
        <f>_xlfn.XLOOKUP(D859,products!$A$2:$A$49,products!$B$2:$B$49,0)</f>
        <v>Rob</v>
      </c>
      <c r="J859" t="str">
        <f>_xlfn.XLOOKUP(D859,products!$A$2:$A$49,products!$C$2:$C$49,0)</f>
        <v>L</v>
      </c>
      <c r="K859" s="4">
        <f>_xlfn.XLOOKUP(D859,products!$A$2:$A$49,products!$D$2:$D$49,0)</f>
        <v>2.5</v>
      </c>
      <c r="L859" s="5">
        <f>_xlfn.XLOOKUP(D859,products!$A$2:$A$49,products!$E$2:$E$49,0)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_xlfn.XLOOKUP(orders!C860,customers!$A$1:$A$1001,customers!$G$1:$G$1001,0)</f>
        <v>United States</v>
      </c>
      <c r="I860" t="str">
        <f>_xlfn.XLOOKUP(D860,products!$A$2:$A$49,products!$B$2:$B$49,0)</f>
        <v>Lib</v>
      </c>
      <c r="J860" t="str">
        <f>_xlfn.XLOOKUP(D860,products!$A$2:$A$49,products!$C$2:$C$49,0)</f>
        <v>M</v>
      </c>
      <c r="K860" s="4">
        <f>_xlfn.XLOOKUP(D860,products!$A$2:$A$49,products!$D$2:$D$49,0)</f>
        <v>0.5</v>
      </c>
      <c r="L860" s="5">
        <f>_xlfn.XLOOKUP(D860,products!$A$2:$A$49,products!$E$2:$E$49,0)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_xlfn.XLOOKUP(orders!C861,customers!$A$1:$A$1001,customers!$G$1:$G$1001,0)</f>
        <v>United States</v>
      </c>
      <c r="I861" t="str">
        <f>_xlfn.XLOOKUP(D861,products!$A$2:$A$49,products!$B$2:$B$49,0)</f>
        <v>Ara</v>
      </c>
      <c r="J861" t="str">
        <f>_xlfn.XLOOKUP(D861,products!$A$2:$A$49,products!$C$2:$C$49,0)</f>
        <v>L</v>
      </c>
      <c r="K861" s="4">
        <f>_xlfn.XLOOKUP(D861,products!$A$2:$A$49,products!$D$2:$D$49,0)</f>
        <v>2.5</v>
      </c>
      <c r="L861" s="5">
        <f>_xlfn.XLOOKUP(D861,products!$A$2:$A$49,products!$E$2:$E$49,0)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_xlfn.XLOOKUP(orders!C862,customers!$A$1:$A$1001,customers!$G$1:$G$1001,0)</f>
        <v>United States</v>
      </c>
      <c r="I862" t="str">
        <f>_xlfn.XLOOKUP(D862,products!$A$2:$A$49,products!$B$2:$B$49,0)</f>
        <v>Ara</v>
      </c>
      <c r="J862" t="str">
        <f>_xlfn.XLOOKUP(D862,products!$A$2:$A$49,products!$C$2:$C$49,0)</f>
        <v>M</v>
      </c>
      <c r="K862" s="4">
        <f>_xlfn.XLOOKUP(D862,products!$A$2:$A$49,products!$D$2:$D$49,0)</f>
        <v>2.5</v>
      </c>
      <c r="L862" s="5">
        <f>_xlfn.XLOOKUP(D862,products!$A$2:$A$49,products!$E$2:$E$49,0)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_xlfn.XLOOKUP(orders!C863,customers!$A$1:$A$1001,customers!$G$1:$G$1001,0)</f>
        <v>United States</v>
      </c>
      <c r="I863" t="str">
        <f>_xlfn.XLOOKUP(D863,products!$A$2:$A$49,products!$B$2:$B$49,0)</f>
        <v>Lib</v>
      </c>
      <c r="J863" t="str">
        <f>_xlfn.XLOOKUP(D863,products!$A$2:$A$49,products!$C$2:$C$49,0)</f>
        <v>D</v>
      </c>
      <c r="K863" s="4">
        <f>_xlfn.XLOOKUP(D863,products!$A$2:$A$49,products!$D$2:$D$49,0)</f>
        <v>1</v>
      </c>
      <c r="L863" s="5">
        <f>_xlfn.XLOOKUP(D863,products!$A$2:$A$49,products!$E$2:$E$49,0)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_xlfn.XLOOKUP(orders!C864,customers!$A$1:$A$1001,customers!$G$1:$G$1001,0)</f>
        <v>United States</v>
      </c>
      <c r="I864" t="str">
        <f>_xlfn.XLOOKUP(D864,products!$A$2:$A$49,products!$B$2:$B$49,0)</f>
        <v>Rob</v>
      </c>
      <c r="J864" t="str">
        <f>_xlfn.XLOOKUP(D864,products!$A$2:$A$49,products!$C$2:$C$49,0)</f>
        <v>M</v>
      </c>
      <c r="K864" s="4">
        <f>_xlfn.XLOOKUP(D864,products!$A$2:$A$49,products!$D$2:$D$49,0)</f>
        <v>1</v>
      </c>
      <c r="L864" s="5">
        <f>_xlfn.XLOOKUP(D864,products!$A$2:$A$49,products!$E$2:$E$49,0)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_xlfn.XLOOKUP(orders!C865,customers!$A$1:$A$1001,customers!$G$1:$G$1001,0)</f>
        <v>United States</v>
      </c>
      <c r="I865" t="str">
        <f>_xlfn.XLOOKUP(D865,products!$A$2:$A$49,products!$B$2:$B$49,0)</f>
        <v>Lib</v>
      </c>
      <c r="J865" t="str">
        <f>_xlfn.XLOOKUP(D865,products!$A$2:$A$49,products!$C$2:$C$49,0)</f>
        <v>M</v>
      </c>
      <c r="K865" s="4">
        <f>_xlfn.XLOOKUP(D865,products!$A$2:$A$49,products!$D$2:$D$49,0)</f>
        <v>1</v>
      </c>
      <c r="L865" s="5">
        <f>_xlfn.XLOOKUP(D865,products!$A$2:$A$49,products!$E$2:$E$49,0)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_xlfn.XLOOKUP(orders!C866,customers!$A$1:$A$1001,customers!$G$1:$G$1001,0)</f>
        <v>Ireland</v>
      </c>
      <c r="I866" t="str">
        <f>_xlfn.XLOOKUP(D866,products!$A$2:$A$49,products!$B$2:$B$49,0)</f>
        <v>Rob</v>
      </c>
      <c r="J866" t="str">
        <f>_xlfn.XLOOKUP(D866,products!$A$2:$A$49,products!$C$2:$C$49,0)</f>
        <v>L</v>
      </c>
      <c r="K866" s="4">
        <f>_xlfn.XLOOKUP(D866,products!$A$2:$A$49,products!$D$2:$D$49,0)</f>
        <v>0.2</v>
      </c>
      <c r="L866" s="5">
        <f>_xlfn.XLOOKUP(D866,products!$A$2:$A$49,products!$E$2:$E$49,0)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_xlfn.XLOOKUP(orders!C867,customers!$A$1:$A$1001,customers!$G$1:$G$1001,0)</f>
        <v>United States</v>
      </c>
      <c r="I867" t="str">
        <f>_xlfn.XLOOKUP(D867,products!$A$2:$A$49,products!$B$2:$B$49,0)</f>
        <v>Ara</v>
      </c>
      <c r="J867" t="str">
        <f>_xlfn.XLOOKUP(D867,products!$A$2:$A$49,products!$C$2:$C$49,0)</f>
        <v>M</v>
      </c>
      <c r="K867" s="4">
        <f>_xlfn.XLOOKUP(D867,products!$A$2:$A$49,products!$D$2:$D$49,0)</f>
        <v>0.5</v>
      </c>
      <c r="L867" s="5">
        <f>_xlfn.XLOOKUP(D867,products!$A$2:$A$49,products!$E$2:$E$49,0)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_xlfn.XLOOKUP(orders!C868,customers!$A$1:$A$1001,customers!$G$1:$G$1001,0)</f>
        <v>Ireland</v>
      </c>
      <c r="I868" t="str">
        <f>_xlfn.XLOOKUP(D868,products!$A$2:$A$49,products!$B$2:$B$49,0)</f>
        <v>Ara</v>
      </c>
      <c r="J868" t="str">
        <f>_xlfn.XLOOKUP(D868,products!$A$2:$A$49,products!$C$2:$C$49,0)</f>
        <v>D</v>
      </c>
      <c r="K868" s="4">
        <f>_xlfn.XLOOKUP(D868,products!$A$2:$A$49,products!$D$2:$D$49,0)</f>
        <v>0.5</v>
      </c>
      <c r="L868" s="5">
        <f>_xlfn.XLOOKUP(D868,products!$A$2:$A$49,products!$E$2:$E$49,0)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_xlfn.XLOOKUP(orders!C869,customers!$A$1:$A$1001,customers!$G$1:$G$1001,0)</f>
        <v>Ireland</v>
      </c>
      <c r="I869" t="str">
        <f>_xlfn.XLOOKUP(D869,products!$A$2:$A$49,products!$B$2:$B$49,0)</f>
        <v>Ara</v>
      </c>
      <c r="J869" t="str">
        <f>_xlfn.XLOOKUP(D869,products!$A$2:$A$49,products!$C$2:$C$49,0)</f>
        <v>L</v>
      </c>
      <c r="K869" s="4">
        <f>_xlfn.XLOOKUP(D869,products!$A$2:$A$49,products!$D$2:$D$49,0)</f>
        <v>2.5</v>
      </c>
      <c r="L869" s="5">
        <f>_xlfn.XLOOKUP(D869,products!$A$2:$A$49,products!$E$2:$E$49,0)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_xlfn.XLOOKUP(orders!C870,customers!$A$1:$A$1001,customers!$G$1:$G$1001,0)</f>
        <v>United States</v>
      </c>
      <c r="I870" t="str">
        <f>_xlfn.XLOOKUP(D870,products!$A$2:$A$49,products!$B$2:$B$49,0)</f>
        <v>Exc</v>
      </c>
      <c r="J870" t="str">
        <f>_xlfn.XLOOKUP(D870,products!$A$2:$A$49,products!$C$2:$C$49,0)</f>
        <v>M</v>
      </c>
      <c r="K870" s="4">
        <f>_xlfn.XLOOKUP(D870,products!$A$2:$A$49,products!$D$2:$D$49,0)</f>
        <v>0.5</v>
      </c>
      <c r="L870" s="5">
        <f>_xlfn.XLOOKUP(D870,products!$A$2:$A$49,products!$E$2:$E$49,0)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_xlfn.XLOOKUP(orders!C871,customers!$A$1:$A$1001,customers!$G$1:$G$1001,0)</f>
        <v>United States</v>
      </c>
      <c r="I871" t="str">
        <f>_xlfn.XLOOKUP(D871,products!$A$2:$A$49,products!$B$2:$B$49,0)</f>
        <v>Rob</v>
      </c>
      <c r="J871" t="str">
        <f>_xlfn.XLOOKUP(D871,products!$A$2:$A$49,products!$C$2:$C$49,0)</f>
        <v>M</v>
      </c>
      <c r="K871" s="4">
        <f>_xlfn.XLOOKUP(D871,products!$A$2:$A$49,products!$D$2:$D$49,0)</f>
        <v>0.5</v>
      </c>
      <c r="L871" s="5">
        <f>_xlfn.XLOOKUP(D871,products!$A$2:$A$49,products!$E$2:$E$49,0)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_xlfn.XLOOKUP(orders!C872,customers!$A$1:$A$1001,customers!$G$1:$G$1001,0)</f>
        <v>Ireland</v>
      </c>
      <c r="I872" t="str">
        <f>_xlfn.XLOOKUP(D872,products!$A$2:$A$49,products!$B$2:$B$49,0)</f>
        <v>Exc</v>
      </c>
      <c r="J872" t="str">
        <f>_xlfn.XLOOKUP(D872,products!$A$2:$A$49,products!$C$2:$C$49,0)</f>
        <v>D</v>
      </c>
      <c r="K872" s="4">
        <f>_xlfn.XLOOKUP(D872,products!$A$2:$A$49,products!$D$2:$D$49,0)</f>
        <v>0.5</v>
      </c>
      <c r="L872" s="5">
        <f>_xlfn.XLOOKUP(D872,products!$A$2:$A$49,products!$E$2:$E$49,0)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_xlfn.XLOOKUP(orders!C873,customers!$A$1:$A$1001,customers!$G$1:$G$1001,0)</f>
        <v>United Kingdom</v>
      </c>
      <c r="I873" t="str">
        <f>_xlfn.XLOOKUP(D873,products!$A$2:$A$49,products!$B$2:$B$49,0)</f>
        <v>Exc</v>
      </c>
      <c r="J873" t="str">
        <f>_xlfn.XLOOKUP(D873,products!$A$2:$A$49,products!$C$2:$C$49,0)</f>
        <v>L</v>
      </c>
      <c r="K873" s="4">
        <f>_xlfn.XLOOKUP(D873,products!$A$2:$A$49,products!$D$2:$D$49,0)</f>
        <v>1</v>
      </c>
      <c r="L873" s="5">
        <f>_xlfn.XLOOKUP(D873,products!$A$2:$A$49,products!$E$2:$E$49,0)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_xlfn.XLOOKUP(orders!C874,customers!$A$1:$A$1001,customers!$G$1:$G$1001,0)</f>
        <v>United States</v>
      </c>
      <c r="I874" t="str">
        <f>_xlfn.XLOOKUP(D874,products!$A$2:$A$49,products!$B$2:$B$49,0)</f>
        <v>Ara</v>
      </c>
      <c r="J874" t="str">
        <f>_xlfn.XLOOKUP(D874,products!$A$2:$A$49,products!$C$2:$C$49,0)</f>
        <v>M</v>
      </c>
      <c r="K874" s="4">
        <f>_xlfn.XLOOKUP(D874,products!$A$2:$A$49,products!$D$2:$D$49,0)</f>
        <v>1</v>
      </c>
      <c r="L874" s="5">
        <f>_xlfn.XLOOKUP(D874,products!$A$2:$A$49,products!$E$2:$E$49,0)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_xlfn.XLOOKUP(orders!C875,customers!$A$1:$A$1001,customers!$G$1:$G$1001,0)</f>
        <v>United States</v>
      </c>
      <c r="I875" t="str">
        <f>_xlfn.XLOOKUP(D875,products!$A$2:$A$49,products!$B$2:$B$49,0)</f>
        <v>Rob</v>
      </c>
      <c r="J875" t="str">
        <f>_xlfn.XLOOKUP(D875,products!$A$2:$A$49,products!$C$2:$C$49,0)</f>
        <v>M</v>
      </c>
      <c r="K875" s="4">
        <f>_xlfn.XLOOKUP(D875,products!$A$2:$A$49,products!$D$2:$D$49,0)</f>
        <v>0.2</v>
      </c>
      <c r="L875" s="5">
        <f>_xlfn.XLOOKUP(D875,products!$A$2:$A$49,products!$E$2:$E$49,0)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_xlfn.XLOOKUP(orders!C876,customers!$A$1:$A$1001,customers!$G$1:$G$1001,0)</f>
        <v>United States</v>
      </c>
      <c r="I876" t="str">
        <f>_xlfn.XLOOKUP(D876,products!$A$2:$A$49,products!$B$2:$B$49,0)</f>
        <v>Ara</v>
      </c>
      <c r="J876" t="str">
        <f>_xlfn.XLOOKUP(D876,products!$A$2:$A$49,products!$C$2:$C$49,0)</f>
        <v>L</v>
      </c>
      <c r="K876" s="4">
        <f>_xlfn.XLOOKUP(D876,products!$A$2:$A$49,products!$D$2:$D$49,0)</f>
        <v>1</v>
      </c>
      <c r="L876" s="5">
        <f>_xlfn.XLOOKUP(D876,products!$A$2:$A$49,products!$E$2:$E$49,0)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_xlfn.XLOOKUP(orders!C877,customers!$A$1:$A$1001,customers!$G$1:$G$1001,0)</f>
        <v>Ireland</v>
      </c>
      <c r="I877" t="str">
        <f>_xlfn.XLOOKUP(D877,products!$A$2:$A$49,products!$B$2:$B$49,0)</f>
        <v>Lib</v>
      </c>
      <c r="J877" t="str">
        <f>_xlfn.XLOOKUP(D877,products!$A$2:$A$49,products!$C$2:$C$49,0)</f>
        <v>M</v>
      </c>
      <c r="K877" s="4">
        <f>_xlfn.XLOOKUP(D877,products!$A$2:$A$49,products!$D$2:$D$49,0)</f>
        <v>0.5</v>
      </c>
      <c r="L877" s="5">
        <f>_xlfn.XLOOKUP(D877,products!$A$2:$A$49,products!$E$2:$E$49,0)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_xlfn.XLOOKUP(orders!C878,customers!$A$1:$A$1001,customers!$G$1:$G$1001,0)</f>
        <v>Ireland</v>
      </c>
      <c r="I878" t="str">
        <f>_xlfn.XLOOKUP(D878,products!$A$2:$A$49,products!$B$2:$B$49,0)</f>
        <v>Ara</v>
      </c>
      <c r="J878" t="str">
        <f>_xlfn.XLOOKUP(D878,products!$A$2:$A$49,products!$C$2:$C$49,0)</f>
        <v>L</v>
      </c>
      <c r="K878" s="4">
        <f>_xlfn.XLOOKUP(D878,products!$A$2:$A$49,products!$D$2:$D$49,0)</f>
        <v>0.5</v>
      </c>
      <c r="L878" s="5">
        <f>_xlfn.XLOOKUP(D878,products!$A$2:$A$49,products!$E$2:$E$49,0)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_xlfn.XLOOKUP(orders!C879,customers!$A$1:$A$1001,customers!$G$1:$G$1001,0)</f>
        <v>United States</v>
      </c>
      <c r="I879" t="str">
        <f>_xlfn.XLOOKUP(D879,products!$A$2:$A$49,products!$B$2:$B$49,0)</f>
        <v>Lib</v>
      </c>
      <c r="J879" t="str">
        <f>_xlfn.XLOOKUP(D879,products!$A$2:$A$49,products!$C$2:$C$49,0)</f>
        <v>L</v>
      </c>
      <c r="K879" s="4">
        <f>_xlfn.XLOOKUP(D879,products!$A$2:$A$49,products!$D$2:$D$49,0)</f>
        <v>0.5</v>
      </c>
      <c r="L879" s="5">
        <f>_xlfn.XLOOKUP(D879,products!$A$2:$A$49,products!$E$2:$E$49,0)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_xlfn.XLOOKUP(orders!C880,customers!$A$1:$A$1001,customers!$G$1:$G$1001,0)</f>
        <v>United States</v>
      </c>
      <c r="I880" t="str">
        <f>_xlfn.XLOOKUP(D880,products!$A$2:$A$49,products!$B$2:$B$49,0)</f>
        <v>Rob</v>
      </c>
      <c r="J880" t="str">
        <f>_xlfn.XLOOKUP(D880,products!$A$2:$A$49,products!$C$2:$C$49,0)</f>
        <v>L</v>
      </c>
      <c r="K880" s="4">
        <f>_xlfn.XLOOKUP(D880,products!$A$2:$A$49,products!$D$2:$D$49,0)</f>
        <v>2.5</v>
      </c>
      <c r="L880" s="5">
        <f>_xlfn.XLOOKUP(D880,products!$A$2:$A$49,products!$E$2:$E$49,0)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_xlfn.XLOOKUP(orders!C881,customers!$A$1:$A$1001,customers!$G$1:$G$1001,0)</f>
        <v>United States</v>
      </c>
      <c r="I881" t="str">
        <f>_xlfn.XLOOKUP(D881,products!$A$2:$A$49,products!$B$2:$B$49,0)</f>
        <v>Exc</v>
      </c>
      <c r="J881" t="str">
        <f>_xlfn.XLOOKUP(D881,products!$A$2:$A$49,products!$C$2:$C$49,0)</f>
        <v>D</v>
      </c>
      <c r="K881" s="4">
        <f>_xlfn.XLOOKUP(D881,products!$A$2:$A$49,products!$D$2:$D$49,0)</f>
        <v>0.2</v>
      </c>
      <c r="L881" s="5">
        <f>_xlfn.XLOOKUP(D881,products!$A$2:$A$49,products!$E$2:$E$49,0)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_xlfn.XLOOKUP(orders!C882,customers!$A$1:$A$1001,customers!$G$1:$G$1001,0)</f>
        <v>United States</v>
      </c>
      <c r="I882" t="str">
        <f>_xlfn.XLOOKUP(D882,products!$A$2:$A$49,products!$B$2:$B$49,0)</f>
        <v>Rob</v>
      </c>
      <c r="J882" t="str">
        <f>_xlfn.XLOOKUP(D882,products!$A$2:$A$49,products!$C$2:$C$49,0)</f>
        <v>L</v>
      </c>
      <c r="K882" s="4">
        <f>_xlfn.XLOOKUP(D882,products!$A$2:$A$49,products!$D$2:$D$49,0)</f>
        <v>0.2</v>
      </c>
      <c r="L882" s="5">
        <f>_xlfn.XLOOKUP(D882,products!$A$2:$A$49,products!$E$2:$E$49,0)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_xlfn.XLOOKUP(orders!C883,customers!$A$1:$A$1001,customers!$G$1:$G$1001,0)</f>
        <v>United States</v>
      </c>
      <c r="I883" t="str">
        <f>_xlfn.XLOOKUP(D883,products!$A$2:$A$49,products!$B$2:$B$49,0)</f>
        <v>Ara</v>
      </c>
      <c r="J883" t="str">
        <f>_xlfn.XLOOKUP(D883,products!$A$2:$A$49,products!$C$2:$C$49,0)</f>
        <v>L</v>
      </c>
      <c r="K883" s="4">
        <f>_xlfn.XLOOKUP(D883,products!$A$2:$A$49,products!$D$2:$D$49,0)</f>
        <v>0.2</v>
      </c>
      <c r="L883" s="5">
        <f>_xlfn.XLOOKUP(D883,products!$A$2:$A$49,products!$E$2:$E$49,0)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_xlfn.XLOOKUP(orders!C884,customers!$A$1:$A$1001,customers!$G$1:$G$1001,0)</f>
        <v>United States</v>
      </c>
      <c r="I884" t="str">
        <f>_xlfn.XLOOKUP(D884,products!$A$2:$A$49,products!$B$2:$B$49,0)</f>
        <v>Ara</v>
      </c>
      <c r="J884" t="str">
        <f>_xlfn.XLOOKUP(D884,products!$A$2:$A$49,products!$C$2:$C$49,0)</f>
        <v>D</v>
      </c>
      <c r="K884" s="4">
        <f>_xlfn.XLOOKUP(D884,products!$A$2:$A$49,products!$D$2:$D$49,0)</f>
        <v>2.5</v>
      </c>
      <c r="L884" s="5">
        <f>_xlfn.XLOOKUP(D884,products!$A$2:$A$49,products!$E$2:$E$49,0)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_xlfn.XLOOKUP(orders!C885,customers!$A$1:$A$1001,customers!$G$1:$G$1001,0)</f>
        <v>United States</v>
      </c>
      <c r="I885" t="str">
        <f>_xlfn.XLOOKUP(D885,products!$A$2:$A$49,products!$B$2:$B$49,0)</f>
        <v>Ara</v>
      </c>
      <c r="J885" t="str">
        <f>_xlfn.XLOOKUP(D885,products!$A$2:$A$49,products!$C$2:$C$49,0)</f>
        <v>M</v>
      </c>
      <c r="K885" s="4">
        <f>_xlfn.XLOOKUP(D885,products!$A$2:$A$49,products!$D$2:$D$49,0)</f>
        <v>2.5</v>
      </c>
      <c r="L885" s="5">
        <f>_xlfn.XLOOKUP(D885,products!$A$2:$A$49,products!$E$2:$E$49,0)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_xlfn.XLOOKUP(orders!C886,customers!$A$1:$A$1001,customers!$G$1:$G$1001,0)</f>
        <v>United States</v>
      </c>
      <c r="I886" t="str">
        <f>_xlfn.XLOOKUP(D886,products!$A$2:$A$49,products!$B$2:$B$49,0)</f>
        <v>Rob</v>
      </c>
      <c r="J886" t="str">
        <f>_xlfn.XLOOKUP(D886,products!$A$2:$A$49,products!$C$2:$C$49,0)</f>
        <v>D</v>
      </c>
      <c r="K886" s="4">
        <f>_xlfn.XLOOKUP(D886,products!$A$2:$A$49,products!$D$2:$D$49,0)</f>
        <v>0.5</v>
      </c>
      <c r="L886" s="5">
        <f>_xlfn.XLOOKUP(D886,products!$A$2:$A$49,products!$E$2:$E$49,0)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_xlfn.XLOOKUP(orders!C887,customers!$A$1:$A$1001,customers!$G$1:$G$1001,0)</f>
        <v>Ireland</v>
      </c>
      <c r="I887" t="str">
        <f>_xlfn.XLOOKUP(D887,products!$A$2:$A$49,products!$B$2:$B$49,0)</f>
        <v>Rob</v>
      </c>
      <c r="J887" t="str">
        <f>_xlfn.XLOOKUP(D887,products!$A$2:$A$49,products!$C$2:$C$49,0)</f>
        <v>D</v>
      </c>
      <c r="K887" s="4">
        <f>_xlfn.XLOOKUP(D887,products!$A$2:$A$49,products!$D$2:$D$49,0)</f>
        <v>2.5</v>
      </c>
      <c r="L887" s="5">
        <f>_xlfn.XLOOKUP(D887,products!$A$2:$A$49,products!$E$2:$E$49,0)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_xlfn.XLOOKUP(orders!C888,customers!$A$1:$A$1001,customers!$G$1:$G$1001,0)</f>
        <v>United States</v>
      </c>
      <c r="I888" t="str">
        <f>_xlfn.XLOOKUP(D888,products!$A$2:$A$49,products!$B$2:$B$49,0)</f>
        <v>Lib</v>
      </c>
      <c r="J888" t="str">
        <f>_xlfn.XLOOKUP(D888,products!$A$2:$A$49,products!$C$2:$C$49,0)</f>
        <v>M</v>
      </c>
      <c r="K888" s="4">
        <f>_xlfn.XLOOKUP(D888,products!$A$2:$A$49,products!$D$2:$D$49,0)</f>
        <v>0.5</v>
      </c>
      <c r="L888" s="5">
        <f>_xlfn.XLOOKUP(D888,products!$A$2:$A$49,products!$E$2:$E$49,0)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_xlfn.XLOOKUP(orders!C889,customers!$A$1:$A$1001,customers!$G$1:$G$1001,0)</f>
        <v>United States</v>
      </c>
      <c r="I889" t="str">
        <f>_xlfn.XLOOKUP(D889,products!$A$2:$A$49,products!$B$2:$B$49,0)</f>
        <v>Exc</v>
      </c>
      <c r="J889" t="str">
        <f>_xlfn.XLOOKUP(D889,products!$A$2:$A$49,products!$C$2:$C$49,0)</f>
        <v>L</v>
      </c>
      <c r="K889" s="4">
        <f>_xlfn.XLOOKUP(D889,products!$A$2:$A$49,products!$D$2:$D$49,0)</f>
        <v>0.2</v>
      </c>
      <c r="L889" s="5">
        <f>_xlfn.XLOOKUP(D889,products!$A$2:$A$49,products!$E$2:$E$49,0)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_xlfn.XLOOKUP(orders!C890,customers!$A$1:$A$1001,customers!$G$1:$G$1001,0)</f>
        <v>United States</v>
      </c>
      <c r="I890" t="str">
        <f>_xlfn.XLOOKUP(D890,products!$A$2:$A$49,products!$B$2:$B$49,0)</f>
        <v>Ara</v>
      </c>
      <c r="J890" t="str">
        <f>_xlfn.XLOOKUP(D890,products!$A$2:$A$49,products!$C$2:$C$49,0)</f>
        <v>L</v>
      </c>
      <c r="K890" s="4">
        <f>_xlfn.XLOOKUP(D890,products!$A$2:$A$49,products!$D$2:$D$49,0)</f>
        <v>0.2</v>
      </c>
      <c r="L890" s="5">
        <f>_xlfn.XLOOKUP(D890,products!$A$2:$A$49,products!$E$2:$E$49,0)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_xlfn.XLOOKUP(orders!C891,customers!$A$1:$A$1001,customers!$G$1:$G$1001,0)</f>
        <v>United States</v>
      </c>
      <c r="I891" t="str">
        <f>_xlfn.XLOOKUP(D891,products!$A$2:$A$49,products!$B$2:$B$49,0)</f>
        <v>Rob</v>
      </c>
      <c r="J891" t="str">
        <f>_xlfn.XLOOKUP(D891,products!$A$2:$A$49,products!$C$2:$C$49,0)</f>
        <v>D</v>
      </c>
      <c r="K891" s="4">
        <f>_xlfn.XLOOKUP(D891,products!$A$2:$A$49,products!$D$2:$D$49,0)</f>
        <v>0.2</v>
      </c>
      <c r="L891" s="5">
        <f>_xlfn.XLOOKUP(D891,products!$A$2:$A$49,products!$E$2:$E$49,0)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_xlfn.XLOOKUP(orders!C892,customers!$A$1:$A$1001,customers!$G$1:$G$1001,0)</f>
        <v>United States</v>
      </c>
      <c r="I892" t="str">
        <f>_xlfn.XLOOKUP(D892,products!$A$2:$A$49,products!$B$2:$B$49,0)</f>
        <v>Rob</v>
      </c>
      <c r="J892" t="str">
        <f>_xlfn.XLOOKUP(D892,products!$A$2:$A$49,products!$C$2:$C$49,0)</f>
        <v>D</v>
      </c>
      <c r="K892" s="4">
        <f>_xlfn.XLOOKUP(D892,products!$A$2:$A$49,products!$D$2:$D$49,0)</f>
        <v>2.5</v>
      </c>
      <c r="L892" s="5">
        <f>_xlfn.XLOOKUP(D892,products!$A$2:$A$49,products!$E$2:$E$49,0)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_xlfn.XLOOKUP(orders!C893,customers!$A$1:$A$1001,customers!$G$1:$G$1001,0)</f>
        <v>United States</v>
      </c>
      <c r="I893" t="str">
        <f>_xlfn.XLOOKUP(D893,products!$A$2:$A$49,products!$B$2:$B$49,0)</f>
        <v>Ara</v>
      </c>
      <c r="J893" t="str">
        <f>_xlfn.XLOOKUP(D893,products!$A$2:$A$49,products!$C$2:$C$49,0)</f>
        <v>D</v>
      </c>
      <c r="K893" s="4">
        <f>_xlfn.XLOOKUP(D893,products!$A$2:$A$49,products!$D$2:$D$49,0)</f>
        <v>2.5</v>
      </c>
      <c r="L893" s="5">
        <f>_xlfn.XLOOKUP(D893,products!$A$2:$A$49,products!$E$2:$E$49,0)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_xlfn.XLOOKUP(orders!C894,customers!$A$1:$A$1001,customers!$G$1:$G$1001,0)</f>
        <v>United Kingdom</v>
      </c>
      <c r="I894" t="str">
        <f>_xlfn.XLOOKUP(D894,products!$A$2:$A$49,products!$B$2:$B$49,0)</f>
        <v>Exc</v>
      </c>
      <c r="J894" t="str">
        <f>_xlfn.XLOOKUP(D894,products!$A$2:$A$49,products!$C$2:$C$49,0)</f>
        <v>M</v>
      </c>
      <c r="K894" s="4">
        <f>_xlfn.XLOOKUP(D894,products!$A$2:$A$49,products!$D$2:$D$49,0)</f>
        <v>0.2</v>
      </c>
      <c r="L894" s="5">
        <f>_xlfn.XLOOKUP(D894,products!$A$2:$A$49,products!$E$2:$E$49,0)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_xlfn.XLOOKUP(orders!C895,customers!$A$1:$A$1001,customers!$G$1:$G$1001,0)</f>
        <v>United States</v>
      </c>
      <c r="I895" t="str">
        <f>_xlfn.XLOOKUP(D895,products!$A$2:$A$49,products!$B$2:$B$49,0)</f>
        <v>Lib</v>
      </c>
      <c r="J895" t="str">
        <f>_xlfn.XLOOKUP(D895,products!$A$2:$A$49,products!$C$2:$C$49,0)</f>
        <v>L</v>
      </c>
      <c r="K895" s="4">
        <f>_xlfn.XLOOKUP(D895,products!$A$2:$A$49,products!$D$2:$D$49,0)</f>
        <v>0.5</v>
      </c>
      <c r="L895" s="5">
        <f>_xlfn.XLOOKUP(D895,products!$A$2:$A$49,products!$E$2:$E$49,0)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_xlfn.XLOOKUP(orders!C896,customers!$A$1:$A$1001,customers!$G$1:$G$1001,0)</f>
        <v>Ireland</v>
      </c>
      <c r="I896" t="str">
        <f>_xlfn.XLOOKUP(D896,products!$A$2:$A$49,products!$B$2:$B$49,0)</f>
        <v>Rob</v>
      </c>
      <c r="J896" t="str">
        <f>_xlfn.XLOOKUP(D896,products!$A$2:$A$49,products!$C$2:$C$49,0)</f>
        <v>D</v>
      </c>
      <c r="K896" s="4">
        <f>_xlfn.XLOOKUP(D896,products!$A$2:$A$49,products!$D$2:$D$49,0)</f>
        <v>2.5</v>
      </c>
      <c r="L896" s="5">
        <f>_xlfn.XLOOKUP(D896,products!$A$2:$A$49,products!$E$2:$E$49,0)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_xlfn.XLOOKUP(orders!C897,customers!$A$1:$A$1001,customers!$G$1:$G$1001,0)</f>
        <v>United States</v>
      </c>
      <c r="I897" t="str">
        <f>_xlfn.XLOOKUP(D897,products!$A$2:$A$49,products!$B$2:$B$49,0)</f>
        <v>Exc</v>
      </c>
      <c r="J897" t="str">
        <f>_xlfn.XLOOKUP(D897,products!$A$2:$A$49,products!$C$2:$C$49,0)</f>
        <v>M</v>
      </c>
      <c r="K897" s="4">
        <f>_xlfn.XLOOKUP(D897,products!$A$2:$A$49,products!$D$2:$D$49,0)</f>
        <v>2.5</v>
      </c>
      <c r="L897" s="5">
        <f>_xlfn.XLOOKUP(D897,products!$A$2:$A$49,products!$E$2:$E$49,0)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_xlfn.XLOOKUP(orders!C898,customers!$A$1:$A$1001,customers!$G$1:$G$1001,0)</f>
        <v>United States</v>
      </c>
      <c r="I898" t="str">
        <f>_xlfn.XLOOKUP(D898,products!$A$2:$A$49,products!$B$2:$B$49,0)</f>
        <v>Rob</v>
      </c>
      <c r="J898" t="str">
        <f>_xlfn.XLOOKUP(D898,products!$A$2:$A$49,products!$C$2:$C$49,0)</f>
        <v>D</v>
      </c>
      <c r="K898" s="4">
        <f>_xlfn.XLOOKUP(D898,products!$A$2:$A$49,products!$D$2:$D$49,0)</f>
        <v>0.5</v>
      </c>
      <c r="L898" s="5">
        <f>_xlfn.XLOOKUP(D898,products!$A$2:$A$49,products!$E$2:$E$49,0)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_xlfn.XLOOKUP(orders!C899,customers!$A$1:$A$1001,customers!$G$1:$G$1001,0)</f>
        <v>United Kingdom</v>
      </c>
      <c r="I899" t="str">
        <f>_xlfn.XLOOKUP(D899,products!$A$2:$A$49,products!$B$2:$B$49,0)</f>
        <v>Exc</v>
      </c>
      <c r="J899" t="str">
        <f>_xlfn.XLOOKUP(D899,products!$A$2:$A$49,products!$C$2:$C$49,0)</f>
        <v>D</v>
      </c>
      <c r="K899" s="4">
        <f>_xlfn.XLOOKUP(D899,products!$A$2:$A$49,products!$D$2:$D$49,0)</f>
        <v>1</v>
      </c>
      <c r="L899" s="5">
        <f>_xlfn.XLOOKUP(D899,products!$A$2:$A$49,products!$E$2:$E$49,0)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_xlfn.XLOOKUP(orders!C900,customers!$A$1:$A$1001,customers!$G$1:$G$1001,0)</f>
        <v>United States</v>
      </c>
      <c r="I900" t="str">
        <f>_xlfn.XLOOKUP(D900,products!$A$2:$A$49,products!$B$2:$B$49,0)</f>
        <v>Rob</v>
      </c>
      <c r="J900" t="str">
        <f>_xlfn.XLOOKUP(D900,products!$A$2:$A$49,products!$C$2:$C$49,0)</f>
        <v>L</v>
      </c>
      <c r="K900" s="4">
        <f>_xlfn.XLOOKUP(D900,products!$A$2:$A$49,products!$D$2:$D$49,0)</f>
        <v>0.5</v>
      </c>
      <c r="L900" s="5">
        <f>_xlfn.XLOOKUP(D900,products!$A$2:$A$49,products!$E$2:$E$49,0)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_xlfn.XLOOKUP(orders!C901,customers!$A$1:$A$1001,customers!$G$1:$G$1001,0)</f>
        <v>United States</v>
      </c>
      <c r="I901" t="str">
        <f>_xlfn.XLOOKUP(D901,products!$A$2:$A$49,products!$B$2:$B$49,0)</f>
        <v>Lib</v>
      </c>
      <c r="J901" t="str">
        <f>_xlfn.XLOOKUP(D901,products!$A$2:$A$49,products!$C$2:$C$49,0)</f>
        <v>M</v>
      </c>
      <c r="K901" s="4">
        <f>_xlfn.XLOOKUP(D901,products!$A$2:$A$49,products!$D$2:$D$49,0)</f>
        <v>1</v>
      </c>
      <c r="L901" s="5">
        <f>_xlfn.XLOOKUP(D901,products!$A$2:$A$49,products!$E$2:$E$49,0)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_xlfn.XLOOKUP(orders!C902,customers!$A$1:$A$1001,customers!$G$1:$G$1001,0)</f>
        <v>Ireland</v>
      </c>
      <c r="I902" t="str">
        <f>_xlfn.XLOOKUP(D902,products!$A$2:$A$49,products!$B$2:$B$49,0)</f>
        <v>Lib</v>
      </c>
      <c r="J902" t="str">
        <f>_xlfn.XLOOKUP(D902,products!$A$2:$A$49,products!$C$2:$C$49,0)</f>
        <v>L</v>
      </c>
      <c r="K902" s="4">
        <f>_xlfn.XLOOKUP(D902,products!$A$2:$A$49,products!$D$2:$D$49,0)</f>
        <v>1</v>
      </c>
      <c r="L902" s="5">
        <f>_xlfn.XLOOKUP(D902,products!$A$2:$A$49,products!$E$2:$E$49,0)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_xlfn.XLOOKUP(orders!C903,customers!$A$1:$A$1001,customers!$G$1:$G$1001,0)</f>
        <v>United States</v>
      </c>
      <c r="I903" t="str">
        <f>_xlfn.XLOOKUP(D903,products!$A$2:$A$49,products!$B$2:$B$49,0)</f>
        <v>Rob</v>
      </c>
      <c r="J903" t="str">
        <f>_xlfn.XLOOKUP(D903,products!$A$2:$A$49,products!$C$2:$C$49,0)</f>
        <v>L</v>
      </c>
      <c r="K903" s="4">
        <f>_xlfn.XLOOKUP(D903,products!$A$2:$A$49,products!$D$2:$D$49,0)</f>
        <v>0.2</v>
      </c>
      <c r="L903" s="5">
        <f>_xlfn.XLOOKUP(D903,products!$A$2:$A$49,products!$E$2:$E$49,0)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_xlfn.XLOOKUP(orders!C904,customers!$A$1:$A$1001,customers!$G$1:$G$1001,0)</f>
        <v>United States</v>
      </c>
      <c r="I904" t="str">
        <f>_xlfn.XLOOKUP(D904,products!$A$2:$A$49,products!$B$2:$B$49,0)</f>
        <v>Exc</v>
      </c>
      <c r="J904" t="str">
        <f>_xlfn.XLOOKUP(D904,products!$A$2:$A$49,products!$C$2:$C$49,0)</f>
        <v>M</v>
      </c>
      <c r="K904" s="4">
        <f>_xlfn.XLOOKUP(D904,products!$A$2:$A$49,products!$D$2:$D$49,0)</f>
        <v>2.5</v>
      </c>
      <c r="L904" s="5">
        <f>_xlfn.XLOOKUP(D904,products!$A$2:$A$49,products!$E$2:$E$49,0)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_xlfn.XLOOKUP(orders!C905,customers!$A$1:$A$1001,customers!$G$1:$G$1001,0)</f>
        <v>United States</v>
      </c>
      <c r="I905" t="str">
        <f>_xlfn.XLOOKUP(D905,products!$A$2:$A$49,products!$B$2:$B$49,0)</f>
        <v>Lib</v>
      </c>
      <c r="J905" t="str">
        <f>_xlfn.XLOOKUP(D905,products!$A$2:$A$49,products!$C$2:$C$49,0)</f>
        <v>M</v>
      </c>
      <c r="K905" s="4">
        <f>_xlfn.XLOOKUP(D905,products!$A$2:$A$49,products!$D$2:$D$49,0)</f>
        <v>0.5</v>
      </c>
      <c r="L905" s="5">
        <f>_xlfn.XLOOKUP(D905,products!$A$2:$A$49,products!$E$2:$E$49,0)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_xlfn.XLOOKUP(orders!C906,customers!$A$1:$A$1001,customers!$G$1:$G$1001,0)</f>
        <v>United States</v>
      </c>
      <c r="I906" t="str">
        <f>_xlfn.XLOOKUP(D906,products!$A$2:$A$49,products!$B$2:$B$49,0)</f>
        <v>Ara</v>
      </c>
      <c r="J906" t="str">
        <f>_xlfn.XLOOKUP(D906,products!$A$2:$A$49,products!$C$2:$C$49,0)</f>
        <v>L</v>
      </c>
      <c r="K906" s="4">
        <f>_xlfn.XLOOKUP(D906,products!$A$2:$A$49,products!$D$2:$D$49,0)</f>
        <v>2.5</v>
      </c>
      <c r="L906" s="5">
        <f>_xlfn.XLOOKUP(D906,products!$A$2:$A$49,products!$E$2:$E$49,0)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_xlfn.XLOOKUP(orders!C907,customers!$A$1:$A$1001,customers!$G$1:$G$1001,0)</f>
        <v>United States</v>
      </c>
      <c r="I907" t="str">
        <f>_xlfn.XLOOKUP(D907,products!$A$2:$A$49,products!$B$2:$B$49,0)</f>
        <v>Ara</v>
      </c>
      <c r="J907" t="str">
        <f>_xlfn.XLOOKUP(D907,products!$A$2:$A$49,products!$C$2:$C$49,0)</f>
        <v>M</v>
      </c>
      <c r="K907" s="4">
        <f>_xlfn.XLOOKUP(D907,products!$A$2:$A$49,products!$D$2:$D$49,0)</f>
        <v>0.5</v>
      </c>
      <c r="L907" s="5">
        <f>_xlfn.XLOOKUP(D907,products!$A$2:$A$49,products!$E$2:$E$49,0)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_xlfn.XLOOKUP(orders!C908,customers!$A$1:$A$1001,customers!$G$1:$G$1001,0)</f>
        <v>United States</v>
      </c>
      <c r="I908" t="str">
        <f>_xlfn.XLOOKUP(D908,products!$A$2:$A$49,products!$B$2:$B$49,0)</f>
        <v>Ara</v>
      </c>
      <c r="J908" t="str">
        <f>_xlfn.XLOOKUP(D908,products!$A$2:$A$49,products!$C$2:$C$49,0)</f>
        <v>M</v>
      </c>
      <c r="K908" s="4">
        <f>_xlfn.XLOOKUP(D908,products!$A$2:$A$49,products!$D$2:$D$49,0)</f>
        <v>0.5</v>
      </c>
      <c r="L908" s="5">
        <f>_xlfn.XLOOKUP(D908,products!$A$2:$A$49,products!$E$2:$E$49,0)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_xlfn.XLOOKUP(orders!C909,customers!$A$1:$A$1001,customers!$G$1:$G$1001,0)</f>
        <v>United States</v>
      </c>
      <c r="I909" t="str">
        <f>_xlfn.XLOOKUP(D909,products!$A$2:$A$49,products!$B$2:$B$49,0)</f>
        <v>Lib</v>
      </c>
      <c r="J909" t="str">
        <f>_xlfn.XLOOKUP(D909,products!$A$2:$A$49,products!$C$2:$C$49,0)</f>
        <v>D</v>
      </c>
      <c r="K909" s="4">
        <f>_xlfn.XLOOKUP(D909,products!$A$2:$A$49,products!$D$2:$D$49,0)</f>
        <v>1</v>
      </c>
      <c r="L909" s="5">
        <f>_xlfn.XLOOKUP(D909,products!$A$2:$A$49,products!$E$2:$E$49,0)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_xlfn.XLOOKUP(orders!C910,customers!$A$1:$A$1001,customers!$G$1:$G$1001,0)</f>
        <v>United States</v>
      </c>
      <c r="I910" t="str">
        <f>_xlfn.XLOOKUP(D910,products!$A$2:$A$49,products!$B$2:$B$49,0)</f>
        <v>Rob</v>
      </c>
      <c r="J910" t="str">
        <f>_xlfn.XLOOKUP(D910,products!$A$2:$A$49,products!$C$2:$C$49,0)</f>
        <v>L</v>
      </c>
      <c r="K910" s="4">
        <f>_xlfn.XLOOKUP(D910,products!$A$2:$A$49,products!$D$2:$D$49,0)</f>
        <v>1</v>
      </c>
      <c r="L910" s="5">
        <f>_xlfn.XLOOKUP(D910,products!$A$2:$A$49,products!$E$2:$E$49,0)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_xlfn.XLOOKUP(orders!C911,customers!$A$1:$A$1001,customers!$G$1:$G$1001,0)</f>
        <v>United States</v>
      </c>
      <c r="I911" t="str">
        <f>_xlfn.XLOOKUP(D911,products!$A$2:$A$49,products!$B$2:$B$49,0)</f>
        <v>Rob</v>
      </c>
      <c r="J911" t="str">
        <f>_xlfn.XLOOKUP(D911,products!$A$2:$A$49,products!$C$2:$C$49,0)</f>
        <v>L</v>
      </c>
      <c r="K911" s="4">
        <f>_xlfn.XLOOKUP(D911,products!$A$2:$A$49,products!$D$2:$D$49,0)</f>
        <v>0.2</v>
      </c>
      <c r="L911" s="5">
        <f>_xlfn.XLOOKUP(D911,products!$A$2:$A$49,products!$E$2:$E$49,0)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_xlfn.XLOOKUP(orders!C912,customers!$A$1:$A$1001,customers!$G$1:$G$1001,0)</f>
        <v>United States</v>
      </c>
      <c r="I912" t="str">
        <f>_xlfn.XLOOKUP(D912,products!$A$2:$A$49,products!$B$2:$B$49,0)</f>
        <v>Ara</v>
      </c>
      <c r="J912" t="str">
        <f>_xlfn.XLOOKUP(D912,products!$A$2:$A$49,products!$C$2:$C$49,0)</f>
        <v>D</v>
      </c>
      <c r="K912" s="4">
        <f>_xlfn.XLOOKUP(D912,products!$A$2:$A$49,products!$D$2:$D$49,0)</f>
        <v>2.5</v>
      </c>
      <c r="L912" s="5">
        <f>_xlfn.XLOOKUP(D912,products!$A$2:$A$49,products!$E$2:$E$49,0)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_xlfn.XLOOKUP(orders!C913,customers!$A$1:$A$1001,customers!$G$1:$G$1001,0)</f>
        <v>United States</v>
      </c>
      <c r="I913" t="str">
        <f>_xlfn.XLOOKUP(D913,products!$A$2:$A$49,products!$B$2:$B$49,0)</f>
        <v>Ara</v>
      </c>
      <c r="J913" t="str">
        <f>_xlfn.XLOOKUP(D913,products!$A$2:$A$49,products!$C$2:$C$49,0)</f>
        <v>M</v>
      </c>
      <c r="K913" s="4">
        <f>_xlfn.XLOOKUP(D913,products!$A$2:$A$49,products!$D$2:$D$49,0)</f>
        <v>1</v>
      </c>
      <c r="L913" s="5">
        <f>_xlfn.XLOOKUP(D913,products!$A$2:$A$49,products!$E$2:$E$49,0)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_xlfn.XLOOKUP(orders!C914,customers!$A$1:$A$1001,customers!$G$1:$G$1001,0)</f>
        <v>United States</v>
      </c>
      <c r="I914" t="str">
        <f>_xlfn.XLOOKUP(D914,products!$A$2:$A$49,products!$B$2:$B$49,0)</f>
        <v>Rob</v>
      </c>
      <c r="J914" t="str">
        <f>_xlfn.XLOOKUP(D914,products!$A$2:$A$49,products!$C$2:$C$49,0)</f>
        <v>M</v>
      </c>
      <c r="K914" s="4">
        <f>_xlfn.XLOOKUP(D914,products!$A$2:$A$49,products!$D$2:$D$49,0)</f>
        <v>2.5</v>
      </c>
      <c r="L914" s="5">
        <f>_xlfn.XLOOKUP(D914,products!$A$2:$A$49,products!$E$2:$E$49,0)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_xlfn.XLOOKUP(orders!C915,customers!$A$1:$A$1001,customers!$G$1:$G$1001,0)</f>
        <v>United States</v>
      </c>
      <c r="I915" t="str">
        <f>_xlfn.XLOOKUP(D915,products!$A$2:$A$49,products!$B$2:$B$49,0)</f>
        <v>Ara</v>
      </c>
      <c r="J915" t="str">
        <f>_xlfn.XLOOKUP(D915,products!$A$2:$A$49,products!$C$2:$C$49,0)</f>
        <v>M</v>
      </c>
      <c r="K915" s="4">
        <f>_xlfn.XLOOKUP(D915,products!$A$2:$A$49,products!$D$2:$D$49,0)</f>
        <v>0.5</v>
      </c>
      <c r="L915" s="5">
        <f>_xlfn.XLOOKUP(D915,products!$A$2:$A$49,products!$E$2:$E$49,0)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_xlfn.XLOOKUP(orders!C916,customers!$A$1:$A$1001,customers!$G$1:$G$1001,0)</f>
        <v>United States</v>
      </c>
      <c r="I916" t="str">
        <f>_xlfn.XLOOKUP(D916,products!$A$2:$A$49,products!$B$2:$B$49,0)</f>
        <v>Ara</v>
      </c>
      <c r="J916" t="str">
        <f>_xlfn.XLOOKUP(D916,products!$A$2:$A$49,products!$C$2:$C$49,0)</f>
        <v>M</v>
      </c>
      <c r="K916" s="4">
        <f>_xlfn.XLOOKUP(D916,products!$A$2:$A$49,products!$D$2:$D$49,0)</f>
        <v>1</v>
      </c>
      <c r="L916" s="5">
        <f>_xlfn.XLOOKUP(D916,products!$A$2:$A$49,products!$E$2:$E$49,0)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_xlfn.XLOOKUP(orders!C917,customers!$A$1:$A$1001,customers!$G$1:$G$1001,0)</f>
        <v>United States</v>
      </c>
      <c r="I917" t="str">
        <f>_xlfn.XLOOKUP(D917,products!$A$2:$A$49,products!$B$2:$B$49,0)</f>
        <v>Exc</v>
      </c>
      <c r="J917" t="str">
        <f>_xlfn.XLOOKUP(D917,products!$A$2:$A$49,products!$C$2:$C$49,0)</f>
        <v>D</v>
      </c>
      <c r="K917" s="4">
        <f>_xlfn.XLOOKUP(D917,products!$A$2:$A$49,products!$D$2:$D$49,0)</f>
        <v>2.5</v>
      </c>
      <c r="L917" s="5">
        <f>_xlfn.XLOOKUP(D917,products!$A$2:$A$49,products!$E$2:$E$49,0)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_xlfn.XLOOKUP(orders!C918,customers!$A$1:$A$1001,customers!$G$1:$G$1001,0)</f>
        <v>Ireland</v>
      </c>
      <c r="I918" t="str">
        <f>_xlfn.XLOOKUP(D918,products!$A$2:$A$49,products!$B$2:$B$49,0)</f>
        <v>Exc</v>
      </c>
      <c r="J918" t="str">
        <f>_xlfn.XLOOKUP(D918,products!$A$2:$A$49,products!$C$2:$C$49,0)</f>
        <v>D</v>
      </c>
      <c r="K918" s="4">
        <f>_xlfn.XLOOKUP(D918,products!$A$2:$A$49,products!$D$2:$D$49,0)</f>
        <v>0.2</v>
      </c>
      <c r="L918" s="5">
        <f>_xlfn.XLOOKUP(D918,products!$A$2:$A$49,products!$E$2:$E$49,0)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_xlfn.XLOOKUP(orders!C919,customers!$A$1:$A$1001,customers!$G$1:$G$1001,0)</f>
        <v>United Kingdom</v>
      </c>
      <c r="I919" t="str">
        <f>_xlfn.XLOOKUP(D919,products!$A$2:$A$49,products!$B$2:$B$49,0)</f>
        <v>Ara</v>
      </c>
      <c r="J919" t="str">
        <f>_xlfn.XLOOKUP(D919,products!$A$2:$A$49,products!$C$2:$C$49,0)</f>
        <v>M</v>
      </c>
      <c r="K919" s="4">
        <f>_xlfn.XLOOKUP(D919,products!$A$2:$A$49,products!$D$2:$D$49,0)</f>
        <v>0.5</v>
      </c>
      <c r="L919" s="5">
        <f>_xlfn.XLOOKUP(D919,products!$A$2:$A$49,products!$E$2:$E$49,0)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_xlfn.XLOOKUP(orders!C920,customers!$A$1:$A$1001,customers!$G$1:$G$1001,0)</f>
        <v>United Kingdom</v>
      </c>
      <c r="I920" t="str">
        <f>_xlfn.XLOOKUP(D920,products!$A$2:$A$49,products!$B$2:$B$49,0)</f>
        <v>Exc</v>
      </c>
      <c r="J920" t="str">
        <f>_xlfn.XLOOKUP(D920,products!$A$2:$A$49,products!$C$2:$C$49,0)</f>
        <v>D</v>
      </c>
      <c r="K920" s="4">
        <f>_xlfn.XLOOKUP(D920,products!$A$2:$A$49,products!$D$2:$D$49,0)</f>
        <v>0.5</v>
      </c>
      <c r="L920" s="5">
        <f>_xlfn.XLOOKUP(D920,products!$A$2:$A$49,products!$E$2:$E$49,0)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_xlfn.XLOOKUP(orders!C921,customers!$A$1:$A$1001,customers!$G$1:$G$1001,0)</f>
        <v>United States</v>
      </c>
      <c r="I921" t="str">
        <f>_xlfn.XLOOKUP(D921,products!$A$2:$A$49,products!$B$2:$B$49,0)</f>
        <v>Rob</v>
      </c>
      <c r="J921" t="str">
        <f>_xlfn.XLOOKUP(D921,products!$A$2:$A$49,products!$C$2:$C$49,0)</f>
        <v>D</v>
      </c>
      <c r="K921" s="4">
        <f>_xlfn.XLOOKUP(D921,products!$A$2:$A$49,products!$D$2:$D$49,0)</f>
        <v>0.2</v>
      </c>
      <c r="L921" s="5">
        <f>_xlfn.XLOOKUP(D921,products!$A$2:$A$49,products!$E$2:$E$49,0)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_xlfn.XLOOKUP(orders!C922,customers!$A$1:$A$1001,customers!$G$1:$G$1001,0)</f>
        <v>United States</v>
      </c>
      <c r="I922" t="str">
        <f>_xlfn.XLOOKUP(D922,products!$A$2:$A$49,products!$B$2:$B$49,0)</f>
        <v>Rob</v>
      </c>
      <c r="J922" t="str">
        <f>_xlfn.XLOOKUP(D922,products!$A$2:$A$49,products!$C$2:$C$49,0)</f>
        <v>D</v>
      </c>
      <c r="K922" s="4">
        <f>_xlfn.XLOOKUP(D922,products!$A$2:$A$49,products!$D$2:$D$49,0)</f>
        <v>2.5</v>
      </c>
      <c r="L922" s="5">
        <f>_xlfn.XLOOKUP(D922,products!$A$2:$A$49,products!$E$2:$E$49,0)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_xlfn.XLOOKUP(orders!C923,customers!$A$1:$A$1001,customers!$G$1:$G$1001,0)</f>
        <v>United States</v>
      </c>
      <c r="I923" t="str">
        <f>_xlfn.XLOOKUP(D923,products!$A$2:$A$49,products!$B$2:$B$49,0)</f>
        <v>Lib</v>
      </c>
      <c r="J923" t="str">
        <f>_xlfn.XLOOKUP(D923,products!$A$2:$A$49,products!$C$2:$C$49,0)</f>
        <v>D</v>
      </c>
      <c r="K923" s="4">
        <f>_xlfn.XLOOKUP(D923,products!$A$2:$A$49,products!$D$2:$D$49,0)</f>
        <v>0.2</v>
      </c>
      <c r="L923" s="5">
        <f>_xlfn.XLOOKUP(D923,products!$A$2:$A$49,products!$E$2:$E$49,0)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_xlfn.XLOOKUP(orders!C924,customers!$A$1:$A$1001,customers!$G$1:$G$1001,0)</f>
        <v>United States</v>
      </c>
      <c r="I924" t="str">
        <f>_xlfn.XLOOKUP(D924,products!$A$2:$A$49,products!$B$2:$B$49,0)</f>
        <v>Ara</v>
      </c>
      <c r="J924" t="str">
        <f>_xlfn.XLOOKUP(D924,products!$A$2:$A$49,products!$C$2:$C$49,0)</f>
        <v>M</v>
      </c>
      <c r="K924" s="4">
        <f>_xlfn.XLOOKUP(D924,products!$A$2:$A$49,products!$D$2:$D$49,0)</f>
        <v>1</v>
      </c>
      <c r="L924" s="5">
        <f>_xlfn.XLOOKUP(D924,products!$A$2:$A$49,products!$E$2:$E$49,0)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_xlfn.XLOOKUP(orders!C925,customers!$A$1:$A$1001,customers!$G$1:$G$1001,0)</f>
        <v>United States</v>
      </c>
      <c r="I925" t="str">
        <f>_xlfn.XLOOKUP(D925,products!$A$2:$A$49,products!$B$2:$B$49,0)</f>
        <v>Exc</v>
      </c>
      <c r="J925" t="str">
        <f>_xlfn.XLOOKUP(D925,products!$A$2:$A$49,products!$C$2:$C$49,0)</f>
        <v>D</v>
      </c>
      <c r="K925" s="4">
        <f>_xlfn.XLOOKUP(D925,products!$A$2:$A$49,products!$D$2:$D$49,0)</f>
        <v>2.5</v>
      </c>
      <c r="L925" s="5">
        <f>_xlfn.XLOOKUP(D925,products!$A$2:$A$49,products!$E$2:$E$49,0)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_xlfn.XLOOKUP(orders!C926,customers!$A$1:$A$1001,customers!$G$1:$G$1001,0)</f>
        <v>United States</v>
      </c>
      <c r="I926" t="str">
        <f>_xlfn.XLOOKUP(D926,products!$A$2:$A$49,products!$B$2:$B$49,0)</f>
        <v>Ara</v>
      </c>
      <c r="J926" t="str">
        <f>_xlfn.XLOOKUP(D926,products!$A$2:$A$49,products!$C$2:$C$49,0)</f>
        <v>L</v>
      </c>
      <c r="K926" s="4">
        <f>_xlfn.XLOOKUP(D926,products!$A$2:$A$49,products!$D$2:$D$49,0)</f>
        <v>2.5</v>
      </c>
      <c r="L926" s="5">
        <f>_xlfn.XLOOKUP(D926,products!$A$2:$A$49,products!$E$2:$E$49,0)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_xlfn.XLOOKUP(orders!C927,customers!$A$1:$A$1001,customers!$G$1:$G$1001,0)</f>
        <v>United States</v>
      </c>
      <c r="I927" t="str">
        <f>_xlfn.XLOOKUP(D927,products!$A$2:$A$49,products!$B$2:$B$49,0)</f>
        <v>Ara</v>
      </c>
      <c r="J927" t="str">
        <f>_xlfn.XLOOKUP(D927,products!$A$2:$A$49,products!$C$2:$C$49,0)</f>
        <v>M</v>
      </c>
      <c r="K927" s="4">
        <f>_xlfn.XLOOKUP(D927,products!$A$2:$A$49,products!$D$2:$D$49,0)</f>
        <v>0.5</v>
      </c>
      <c r="L927" s="5">
        <f>_xlfn.XLOOKUP(D927,products!$A$2:$A$49,products!$E$2:$E$49,0)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_xlfn.XLOOKUP(orders!C928,customers!$A$1:$A$1001,customers!$G$1:$G$1001,0)</f>
        <v>United States</v>
      </c>
      <c r="I928" t="str">
        <f>_xlfn.XLOOKUP(D928,products!$A$2:$A$49,products!$B$2:$B$49,0)</f>
        <v>Ara</v>
      </c>
      <c r="J928" t="str">
        <f>_xlfn.XLOOKUP(D928,products!$A$2:$A$49,products!$C$2:$C$49,0)</f>
        <v>M</v>
      </c>
      <c r="K928" s="4">
        <f>_xlfn.XLOOKUP(D928,products!$A$2:$A$49,products!$D$2:$D$49,0)</f>
        <v>0.5</v>
      </c>
      <c r="L928" s="5">
        <f>_xlfn.XLOOKUP(D928,products!$A$2:$A$49,products!$E$2:$E$49,0)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_xlfn.XLOOKUP(orders!C929,customers!$A$1:$A$1001,customers!$G$1:$G$1001,0)</f>
        <v>United States</v>
      </c>
      <c r="I929" t="str">
        <f>_xlfn.XLOOKUP(D929,products!$A$2:$A$49,products!$B$2:$B$49,0)</f>
        <v>Exc</v>
      </c>
      <c r="J929" t="str">
        <f>_xlfn.XLOOKUP(D929,products!$A$2:$A$49,products!$C$2:$C$49,0)</f>
        <v>D</v>
      </c>
      <c r="K929" s="4">
        <f>_xlfn.XLOOKUP(D929,products!$A$2:$A$49,products!$D$2:$D$49,0)</f>
        <v>2.5</v>
      </c>
      <c r="L929" s="5">
        <f>_xlfn.XLOOKUP(D929,products!$A$2:$A$49,products!$E$2:$E$49,0)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_xlfn.XLOOKUP(orders!C930,customers!$A$1:$A$1001,customers!$G$1:$G$1001,0)</f>
        <v>United States</v>
      </c>
      <c r="I930" t="str">
        <f>_xlfn.XLOOKUP(D930,products!$A$2:$A$49,products!$B$2:$B$49,0)</f>
        <v>Exc</v>
      </c>
      <c r="J930" t="str">
        <f>_xlfn.XLOOKUP(D930,products!$A$2:$A$49,products!$C$2:$C$49,0)</f>
        <v>M</v>
      </c>
      <c r="K930" s="4">
        <f>_xlfn.XLOOKUP(D930,products!$A$2:$A$49,products!$D$2:$D$49,0)</f>
        <v>2.5</v>
      </c>
      <c r="L930" s="5">
        <f>_xlfn.XLOOKUP(D930,products!$A$2:$A$49,products!$E$2:$E$49,0)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_xlfn.XLOOKUP(orders!C931,customers!$A$1:$A$1001,customers!$G$1:$G$1001,0)</f>
        <v>United States</v>
      </c>
      <c r="I931" t="str">
        <f>_xlfn.XLOOKUP(D931,products!$A$2:$A$49,products!$B$2:$B$49,0)</f>
        <v>Exc</v>
      </c>
      <c r="J931" t="str">
        <f>_xlfn.XLOOKUP(D931,products!$A$2:$A$49,products!$C$2:$C$49,0)</f>
        <v>L</v>
      </c>
      <c r="K931" s="4">
        <f>_xlfn.XLOOKUP(D931,products!$A$2:$A$49,products!$D$2:$D$49,0)</f>
        <v>0.2</v>
      </c>
      <c r="L931" s="5">
        <f>_xlfn.XLOOKUP(D931,products!$A$2:$A$49,products!$E$2:$E$49,0)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_xlfn.XLOOKUP(orders!C932,customers!$A$1:$A$1001,customers!$G$1:$G$1001,0)</f>
        <v>United States</v>
      </c>
      <c r="I932" t="str">
        <f>_xlfn.XLOOKUP(D932,products!$A$2:$A$49,products!$B$2:$B$49,0)</f>
        <v>Exc</v>
      </c>
      <c r="J932" t="str">
        <f>_xlfn.XLOOKUP(D932,products!$A$2:$A$49,products!$C$2:$C$49,0)</f>
        <v>D</v>
      </c>
      <c r="K932" s="4">
        <f>_xlfn.XLOOKUP(D932,products!$A$2:$A$49,products!$D$2:$D$49,0)</f>
        <v>1</v>
      </c>
      <c r="L932" s="5">
        <f>_xlfn.XLOOKUP(D932,products!$A$2:$A$49,products!$E$2:$E$49,0)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_xlfn.XLOOKUP(orders!C933,customers!$A$1:$A$1001,customers!$G$1:$G$1001,0)</f>
        <v>United States</v>
      </c>
      <c r="I933" t="str">
        <f>_xlfn.XLOOKUP(D933,products!$A$2:$A$49,products!$B$2:$B$49,0)</f>
        <v>Ara</v>
      </c>
      <c r="J933" t="str">
        <f>_xlfn.XLOOKUP(D933,products!$A$2:$A$49,products!$C$2:$C$49,0)</f>
        <v>D</v>
      </c>
      <c r="K933" s="4">
        <f>_xlfn.XLOOKUP(D933,products!$A$2:$A$49,products!$D$2:$D$49,0)</f>
        <v>0.5</v>
      </c>
      <c r="L933" s="5">
        <f>_xlfn.XLOOKUP(D933,products!$A$2:$A$49,products!$E$2:$E$49,0)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_xlfn.XLOOKUP(orders!C934,customers!$A$1:$A$1001,customers!$G$1:$G$1001,0)</f>
        <v>United States</v>
      </c>
      <c r="I934" t="str">
        <f>_xlfn.XLOOKUP(D934,products!$A$2:$A$49,products!$B$2:$B$49,0)</f>
        <v>Exc</v>
      </c>
      <c r="J934" t="str">
        <f>_xlfn.XLOOKUP(D934,products!$A$2:$A$49,products!$C$2:$C$49,0)</f>
        <v>M</v>
      </c>
      <c r="K934" s="4">
        <f>_xlfn.XLOOKUP(D934,products!$A$2:$A$49,products!$D$2:$D$49,0)</f>
        <v>1</v>
      </c>
      <c r="L934" s="5">
        <f>_xlfn.XLOOKUP(D934,products!$A$2:$A$49,products!$E$2:$E$49,0)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_xlfn.XLOOKUP(orders!C935,customers!$A$1:$A$1001,customers!$G$1:$G$1001,0)</f>
        <v>United States</v>
      </c>
      <c r="I935" t="str">
        <f>_xlfn.XLOOKUP(D935,products!$A$2:$A$49,products!$B$2:$B$49,0)</f>
        <v>Rob</v>
      </c>
      <c r="J935" t="str">
        <f>_xlfn.XLOOKUP(D935,products!$A$2:$A$49,products!$C$2:$C$49,0)</f>
        <v>D</v>
      </c>
      <c r="K935" s="4">
        <f>_xlfn.XLOOKUP(D935,products!$A$2:$A$49,products!$D$2:$D$49,0)</f>
        <v>1</v>
      </c>
      <c r="L935" s="5">
        <f>_xlfn.XLOOKUP(D935,products!$A$2:$A$49,products!$E$2:$E$49,0)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_xlfn.XLOOKUP(orders!C936,customers!$A$1:$A$1001,customers!$G$1:$G$1001,0)</f>
        <v>United States</v>
      </c>
      <c r="I936" t="str">
        <f>_xlfn.XLOOKUP(D936,products!$A$2:$A$49,products!$B$2:$B$49,0)</f>
        <v>Rob</v>
      </c>
      <c r="J936" t="str">
        <f>_xlfn.XLOOKUP(D936,products!$A$2:$A$49,products!$C$2:$C$49,0)</f>
        <v>M</v>
      </c>
      <c r="K936" s="4">
        <f>_xlfn.XLOOKUP(D936,products!$A$2:$A$49,products!$D$2:$D$49,0)</f>
        <v>2.5</v>
      </c>
      <c r="L936" s="5">
        <f>_xlfn.XLOOKUP(D936,products!$A$2:$A$49,products!$E$2:$E$49,0)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_xlfn.XLOOKUP(orders!C937,customers!$A$1:$A$1001,customers!$G$1:$G$1001,0)</f>
        <v>United States</v>
      </c>
      <c r="I937" t="str">
        <f>_xlfn.XLOOKUP(D937,products!$A$2:$A$49,products!$B$2:$B$49,0)</f>
        <v>Ara</v>
      </c>
      <c r="J937" t="str">
        <f>_xlfn.XLOOKUP(D937,products!$A$2:$A$49,products!$C$2:$C$49,0)</f>
        <v>M</v>
      </c>
      <c r="K937" s="4">
        <f>_xlfn.XLOOKUP(D937,products!$A$2:$A$49,products!$D$2:$D$49,0)</f>
        <v>2.5</v>
      </c>
      <c r="L937" s="5">
        <f>_xlfn.XLOOKUP(D937,products!$A$2:$A$49,products!$E$2:$E$49,0)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_xlfn.XLOOKUP(orders!C938,customers!$A$1:$A$1001,customers!$G$1:$G$1001,0)</f>
        <v>United States</v>
      </c>
      <c r="I938" t="str">
        <f>_xlfn.XLOOKUP(D938,products!$A$2:$A$49,products!$B$2:$B$49,0)</f>
        <v>Lib</v>
      </c>
      <c r="J938" t="str">
        <f>_xlfn.XLOOKUP(D938,products!$A$2:$A$49,products!$C$2:$C$49,0)</f>
        <v>D</v>
      </c>
      <c r="K938" s="4">
        <f>_xlfn.XLOOKUP(D938,products!$A$2:$A$49,products!$D$2:$D$49,0)</f>
        <v>0.5</v>
      </c>
      <c r="L938" s="5">
        <f>_xlfn.XLOOKUP(D938,products!$A$2:$A$49,products!$E$2:$E$49,0)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_xlfn.XLOOKUP(orders!C939,customers!$A$1:$A$1001,customers!$G$1:$G$1001,0)</f>
        <v>United States</v>
      </c>
      <c r="I939" t="str">
        <f>_xlfn.XLOOKUP(D939,products!$A$2:$A$49,products!$B$2:$B$49,0)</f>
        <v>Rob</v>
      </c>
      <c r="J939" t="str">
        <f>_xlfn.XLOOKUP(D939,products!$A$2:$A$49,products!$C$2:$C$49,0)</f>
        <v>M</v>
      </c>
      <c r="K939" s="4">
        <f>_xlfn.XLOOKUP(D939,products!$A$2:$A$49,products!$D$2:$D$49,0)</f>
        <v>2.5</v>
      </c>
      <c r="L939" s="5">
        <f>_xlfn.XLOOKUP(D939,products!$A$2:$A$49,products!$E$2:$E$49,0)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_xlfn.XLOOKUP(orders!C940,customers!$A$1:$A$1001,customers!$G$1:$G$1001,0)</f>
        <v>United States</v>
      </c>
      <c r="I940" t="str">
        <f>_xlfn.XLOOKUP(D940,products!$A$2:$A$49,products!$B$2:$B$49,0)</f>
        <v>Exc</v>
      </c>
      <c r="J940" t="str">
        <f>_xlfn.XLOOKUP(D940,products!$A$2:$A$49,products!$C$2:$C$49,0)</f>
        <v>L</v>
      </c>
      <c r="K940" s="4">
        <f>_xlfn.XLOOKUP(D940,products!$A$2:$A$49,products!$D$2:$D$49,0)</f>
        <v>1</v>
      </c>
      <c r="L940" s="5">
        <f>_xlfn.XLOOKUP(D940,products!$A$2:$A$49,products!$E$2:$E$49,0)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_xlfn.XLOOKUP(orders!C941,customers!$A$1:$A$1001,customers!$G$1:$G$1001,0)</f>
        <v>United States</v>
      </c>
      <c r="I941" t="str">
        <f>_xlfn.XLOOKUP(D941,products!$A$2:$A$49,products!$B$2:$B$49,0)</f>
        <v>Lib</v>
      </c>
      <c r="J941" t="str">
        <f>_xlfn.XLOOKUP(D941,products!$A$2:$A$49,products!$C$2:$C$49,0)</f>
        <v>L</v>
      </c>
      <c r="K941" s="4">
        <f>_xlfn.XLOOKUP(D941,products!$A$2:$A$49,products!$D$2:$D$49,0)</f>
        <v>0.2</v>
      </c>
      <c r="L941" s="5">
        <f>_xlfn.XLOOKUP(D941,products!$A$2:$A$49,products!$E$2:$E$49,0)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_xlfn.XLOOKUP(orders!C942,customers!$A$1:$A$1001,customers!$G$1:$G$1001,0)</f>
        <v>United States</v>
      </c>
      <c r="I942" t="str">
        <f>_xlfn.XLOOKUP(D942,products!$A$2:$A$49,products!$B$2:$B$49,0)</f>
        <v>Rob</v>
      </c>
      <c r="J942" t="str">
        <f>_xlfn.XLOOKUP(D942,products!$A$2:$A$49,products!$C$2:$C$49,0)</f>
        <v>L</v>
      </c>
      <c r="K942" s="4">
        <f>_xlfn.XLOOKUP(D942,products!$A$2:$A$49,products!$D$2:$D$49,0)</f>
        <v>0.5</v>
      </c>
      <c r="L942" s="5">
        <f>_xlfn.XLOOKUP(D942,products!$A$2:$A$49,products!$E$2:$E$49,0)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_xlfn.XLOOKUP(orders!C943,customers!$A$1:$A$1001,customers!$G$1:$G$1001,0)</f>
        <v>Ireland</v>
      </c>
      <c r="I943" t="str">
        <f>_xlfn.XLOOKUP(D943,products!$A$2:$A$49,products!$B$2:$B$49,0)</f>
        <v>Ara</v>
      </c>
      <c r="J943" t="str">
        <f>_xlfn.XLOOKUP(D943,products!$A$2:$A$49,products!$C$2:$C$49,0)</f>
        <v>L</v>
      </c>
      <c r="K943" s="4">
        <f>_xlfn.XLOOKUP(D943,products!$A$2:$A$49,products!$D$2:$D$49,0)</f>
        <v>0.5</v>
      </c>
      <c r="L943" s="5">
        <f>_xlfn.XLOOKUP(D943,products!$A$2:$A$49,products!$E$2:$E$49,0)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_xlfn.XLOOKUP(orders!C944,customers!$A$1:$A$1001,customers!$G$1:$G$1001,0)</f>
        <v>United States</v>
      </c>
      <c r="I944" t="str">
        <f>_xlfn.XLOOKUP(D944,products!$A$2:$A$49,products!$B$2:$B$49,0)</f>
        <v>Rob</v>
      </c>
      <c r="J944" t="str">
        <f>_xlfn.XLOOKUP(D944,products!$A$2:$A$49,products!$C$2:$C$49,0)</f>
        <v>L</v>
      </c>
      <c r="K944" s="4">
        <f>_xlfn.XLOOKUP(D944,products!$A$2:$A$49,products!$D$2:$D$49,0)</f>
        <v>1</v>
      </c>
      <c r="L944" s="5">
        <f>_xlfn.XLOOKUP(D944,products!$A$2:$A$49,products!$E$2:$E$49,0)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_xlfn.XLOOKUP(orders!C945,customers!$A$1:$A$1001,customers!$G$1:$G$1001,0)</f>
        <v>United States</v>
      </c>
      <c r="I945" t="str">
        <f>_xlfn.XLOOKUP(D945,products!$A$2:$A$49,products!$B$2:$B$49,0)</f>
        <v>Ara</v>
      </c>
      <c r="J945" t="str">
        <f>_xlfn.XLOOKUP(D945,products!$A$2:$A$49,products!$C$2:$C$49,0)</f>
        <v>L</v>
      </c>
      <c r="K945" s="4">
        <f>_xlfn.XLOOKUP(D945,products!$A$2:$A$49,products!$D$2:$D$49,0)</f>
        <v>0.5</v>
      </c>
      <c r="L945" s="5">
        <f>_xlfn.XLOOKUP(D945,products!$A$2:$A$49,products!$E$2:$E$49,0)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_xlfn.XLOOKUP(orders!C946,customers!$A$1:$A$1001,customers!$G$1:$G$1001,0)</f>
        <v>United States</v>
      </c>
      <c r="I946" t="str">
        <f>_xlfn.XLOOKUP(D946,products!$A$2:$A$49,products!$B$2:$B$49,0)</f>
        <v>Rob</v>
      </c>
      <c r="J946" t="str">
        <f>_xlfn.XLOOKUP(D946,products!$A$2:$A$49,products!$C$2:$C$49,0)</f>
        <v>L</v>
      </c>
      <c r="K946" s="4">
        <f>_xlfn.XLOOKUP(D946,products!$A$2:$A$49,products!$D$2:$D$49,0)</f>
        <v>0.5</v>
      </c>
      <c r="L946" s="5">
        <f>_xlfn.XLOOKUP(D946,products!$A$2:$A$49,products!$E$2:$E$49,0)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_xlfn.XLOOKUP(orders!C947,customers!$A$1:$A$1001,customers!$G$1:$G$1001,0)</f>
        <v>United States</v>
      </c>
      <c r="I947" t="str">
        <f>_xlfn.XLOOKUP(D947,products!$A$2:$A$49,products!$B$2:$B$49,0)</f>
        <v>Lib</v>
      </c>
      <c r="J947" t="str">
        <f>_xlfn.XLOOKUP(D947,products!$A$2:$A$49,products!$C$2:$C$49,0)</f>
        <v>D</v>
      </c>
      <c r="K947" s="4">
        <f>_xlfn.XLOOKUP(D947,products!$A$2:$A$49,products!$D$2:$D$49,0)</f>
        <v>2.5</v>
      </c>
      <c r="L947" s="5">
        <f>_xlfn.XLOOKUP(D947,products!$A$2:$A$49,products!$E$2:$E$49,0)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_xlfn.XLOOKUP(orders!C948,customers!$A$1:$A$1001,customers!$G$1:$G$1001,0)</f>
        <v>United States</v>
      </c>
      <c r="I948" t="str">
        <f>_xlfn.XLOOKUP(D948,products!$A$2:$A$49,products!$B$2:$B$49,0)</f>
        <v>Lib</v>
      </c>
      <c r="J948" t="str">
        <f>_xlfn.XLOOKUP(D948,products!$A$2:$A$49,products!$C$2:$C$49,0)</f>
        <v>D</v>
      </c>
      <c r="K948" s="4">
        <f>_xlfn.XLOOKUP(D948,products!$A$2:$A$49,products!$D$2:$D$49,0)</f>
        <v>0.5</v>
      </c>
      <c r="L948" s="5">
        <f>_xlfn.XLOOKUP(D948,products!$A$2:$A$49,products!$E$2:$E$49,0)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_xlfn.XLOOKUP(orders!C949,customers!$A$1:$A$1001,customers!$G$1:$G$1001,0)</f>
        <v>Ireland</v>
      </c>
      <c r="I949" t="str">
        <f>_xlfn.XLOOKUP(D949,products!$A$2:$A$49,products!$B$2:$B$49,0)</f>
        <v>Ara</v>
      </c>
      <c r="J949" t="str">
        <f>_xlfn.XLOOKUP(D949,products!$A$2:$A$49,products!$C$2:$C$49,0)</f>
        <v>M</v>
      </c>
      <c r="K949" s="4">
        <f>_xlfn.XLOOKUP(D949,products!$A$2:$A$49,products!$D$2:$D$49,0)</f>
        <v>1</v>
      </c>
      <c r="L949" s="5">
        <f>_xlfn.XLOOKUP(D949,products!$A$2:$A$49,products!$E$2:$E$49,0)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_xlfn.XLOOKUP(orders!C950,customers!$A$1:$A$1001,customers!$G$1:$G$1001,0)</f>
        <v>United Kingdom</v>
      </c>
      <c r="I950" t="str">
        <f>_xlfn.XLOOKUP(D950,products!$A$2:$A$49,products!$B$2:$B$49,0)</f>
        <v>Exc</v>
      </c>
      <c r="J950" t="str">
        <f>_xlfn.XLOOKUP(D950,products!$A$2:$A$49,products!$C$2:$C$49,0)</f>
        <v>D</v>
      </c>
      <c r="K950" s="4">
        <f>_xlfn.XLOOKUP(D950,products!$A$2:$A$49,products!$D$2:$D$49,0)</f>
        <v>2.5</v>
      </c>
      <c r="L950" s="5">
        <f>_xlfn.XLOOKUP(D950,products!$A$2:$A$49,products!$E$2:$E$49,0)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_xlfn.XLOOKUP(orders!C951,customers!$A$1:$A$1001,customers!$G$1:$G$1001,0)</f>
        <v>Ireland</v>
      </c>
      <c r="I951" t="str">
        <f>_xlfn.XLOOKUP(D951,products!$A$2:$A$49,products!$B$2:$B$49,0)</f>
        <v>Rob</v>
      </c>
      <c r="J951" t="str">
        <f>_xlfn.XLOOKUP(D951,products!$A$2:$A$49,products!$C$2:$C$49,0)</f>
        <v>L</v>
      </c>
      <c r="K951" s="4">
        <f>_xlfn.XLOOKUP(D951,products!$A$2:$A$49,products!$D$2:$D$49,0)</f>
        <v>2.5</v>
      </c>
      <c r="L951" s="5">
        <f>_xlfn.XLOOKUP(D951,products!$A$2:$A$49,products!$E$2:$E$49,0)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_xlfn.XLOOKUP(orders!C952,customers!$A$1:$A$1001,customers!$G$1:$G$1001,0)</f>
        <v>United States</v>
      </c>
      <c r="I952" t="str">
        <f>_xlfn.XLOOKUP(D952,products!$A$2:$A$49,products!$B$2:$B$49,0)</f>
        <v>Rob</v>
      </c>
      <c r="J952" t="str">
        <f>_xlfn.XLOOKUP(D952,products!$A$2:$A$49,products!$C$2:$C$49,0)</f>
        <v>L</v>
      </c>
      <c r="K952" s="4">
        <f>_xlfn.XLOOKUP(D952,products!$A$2:$A$49,products!$D$2:$D$49,0)</f>
        <v>0.2</v>
      </c>
      <c r="L952" s="5">
        <f>_xlfn.XLOOKUP(D952,products!$A$2:$A$49,products!$E$2:$E$49,0)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_xlfn.XLOOKUP(orders!C953,customers!$A$1:$A$1001,customers!$G$1:$G$1001,0)</f>
        <v>United States</v>
      </c>
      <c r="I953" t="str">
        <f>_xlfn.XLOOKUP(D953,products!$A$2:$A$49,products!$B$2:$B$49,0)</f>
        <v>Rob</v>
      </c>
      <c r="J953" t="str">
        <f>_xlfn.XLOOKUP(D953,products!$A$2:$A$49,products!$C$2:$C$49,0)</f>
        <v>L</v>
      </c>
      <c r="K953" s="4">
        <f>_xlfn.XLOOKUP(D953,products!$A$2:$A$49,products!$D$2:$D$49,0)</f>
        <v>0.2</v>
      </c>
      <c r="L953" s="5">
        <f>_xlfn.XLOOKUP(D953,products!$A$2:$A$49,products!$E$2:$E$49,0)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_xlfn.XLOOKUP(orders!C954,customers!$A$1:$A$1001,customers!$G$1:$G$1001,0)</f>
        <v>Ireland</v>
      </c>
      <c r="I954" t="str">
        <f>_xlfn.XLOOKUP(D954,products!$A$2:$A$49,products!$B$2:$B$49,0)</f>
        <v>Ara</v>
      </c>
      <c r="J954" t="str">
        <f>_xlfn.XLOOKUP(D954,products!$A$2:$A$49,products!$C$2:$C$49,0)</f>
        <v>M</v>
      </c>
      <c r="K954" s="4">
        <f>_xlfn.XLOOKUP(D954,products!$A$2:$A$49,products!$D$2:$D$49,0)</f>
        <v>1</v>
      </c>
      <c r="L954" s="5">
        <f>_xlfn.XLOOKUP(D954,products!$A$2:$A$49,products!$E$2:$E$49,0)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_xlfn.XLOOKUP(orders!C955,customers!$A$1:$A$1001,customers!$G$1:$G$1001,0)</f>
        <v>United States</v>
      </c>
      <c r="I955" t="str">
        <f>_xlfn.XLOOKUP(D955,products!$A$2:$A$49,products!$B$2:$B$49,0)</f>
        <v>Ara</v>
      </c>
      <c r="J955" t="str">
        <f>_xlfn.XLOOKUP(D955,products!$A$2:$A$49,products!$C$2:$C$49,0)</f>
        <v>L</v>
      </c>
      <c r="K955" s="4">
        <f>_xlfn.XLOOKUP(D955,products!$A$2:$A$49,products!$D$2:$D$49,0)</f>
        <v>0.2</v>
      </c>
      <c r="L955" s="5">
        <f>_xlfn.XLOOKUP(D955,products!$A$2:$A$49,products!$E$2:$E$49,0)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_xlfn.XLOOKUP(orders!C956,customers!$A$1:$A$1001,customers!$G$1:$G$1001,0)</f>
        <v>United States</v>
      </c>
      <c r="I956" t="str">
        <f>_xlfn.XLOOKUP(D956,products!$A$2:$A$49,products!$B$2:$B$49,0)</f>
        <v>Exc</v>
      </c>
      <c r="J956" t="str">
        <f>_xlfn.XLOOKUP(D956,products!$A$2:$A$49,products!$C$2:$C$49,0)</f>
        <v>D</v>
      </c>
      <c r="K956" s="4">
        <f>_xlfn.XLOOKUP(D956,products!$A$2:$A$49,products!$D$2:$D$49,0)</f>
        <v>2.5</v>
      </c>
      <c r="L956" s="5">
        <f>_xlfn.XLOOKUP(D956,products!$A$2:$A$49,products!$E$2:$E$49,0)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_xlfn.XLOOKUP(orders!C957,customers!$A$1:$A$1001,customers!$G$1:$G$1001,0)</f>
        <v>United States</v>
      </c>
      <c r="I957" t="str">
        <f>_xlfn.XLOOKUP(D957,products!$A$2:$A$49,products!$B$2:$B$49,0)</f>
        <v>Exc</v>
      </c>
      <c r="J957" t="str">
        <f>_xlfn.XLOOKUP(D957,products!$A$2:$A$49,products!$C$2:$C$49,0)</f>
        <v>L</v>
      </c>
      <c r="K957" s="4">
        <f>_xlfn.XLOOKUP(D957,products!$A$2:$A$49,products!$D$2:$D$49,0)</f>
        <v>2.5</v>
      </c>
      <c r="L957" s="5">
        <f>_xlfn.XLOOKUP(D957,products!$A$2:$A$49,products!$E$2:$E$49,0)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_xlfn.XLOOKUP(orders!C958,customers!$A$1:$A$1001,customers!$G$1:$G$1001,0)</f>
        <v>United States</v>
      </c>
      <c r="I958" t="str">
        <f>_xlfn.XLOOKUP(D958,products!$A$2:$A$49,products!$B$2:$B$49,0)</f>
        <v>Rob</v>
      </c>
      <c r="J958" t="str">
        <f>_xlfn.XLOOKUP(D958,products!$A$2:$A$49,products!$C$2:$C$49,0)</f>
        <v>L</v>
      </c>
      <c r="K958" s="4">
        <f>_xlfn.XLOOKUP(D958,products!$A$2:$A$49,products!$D$2:$D$49,0)</f>
        <v>2.5</v>
      </c>
      <c r="L958" s="5">
        <f>_xlfn.XLOOKUP(D958,products!$A$2:$A$49,products!$E$2:$E$49,0)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_xlfn.XLOOKUP(orders!C959,customers!$A$1:$A$1001,customers!$G$1:$G$1001,0)</f>
        <v>United States</v>
      </c>
      <c r="I959" t="str">
        <f>_xlfn.XLOOKUP(D959,products!$A$2:$A$49,products!$B$2:$B$49,0)</f>
        <v>Exc</v>
      </c>
      <c r="J959" t="str">
        <f>_xlfn.XLOOKUP(D959,products!$A$2:$A$49,products!$C$2:$C$49,0)</f>
        <v>L</v>
      </c>
      <c r="K959" s="4">
        <f>_xlfn.XLOOKUP(D959,products!$A$2:$A$49,products!$D$2:$D$49,0)</f>
        <v>1</v>
      </c>
      <c r="L959" s="5">
        <f>_xlfn.XLOOKUP(D959,products!$A$2:$A$49,products!$E$2:$E$49,0)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_xlfn.XLOOKUP(orders!C960,customers!$A$1:$A$1001,customers!$G$1:$G$1001,0)</f>
        <v>United States</v>
      </c>
      <c r="I960" t="str">
        <f>_xlfn.XLOOKUP(D960,products!$A$2:$A$49,products!$B$2:$B$49,0)</f>
        <v>Ara</v>
      </c>
      <c r="J960" t="str">
        <f>_xlfn.XLOOKUP(D960,products!$A$2:$A$49,products!$C$2:$C$49,0)</f>
        <v>L</v>
      </c>
      <c r="K960" s="4">
        <f>_xlfn.XLOOKUP(D960,products!$A$2:$A$49,products!$D$2:$D$49,0)</f>
        <v>0.2</v>
      </c>
      <c r="L960" s="5">
        <f>_xlfn.XLOOKUP(D960,products!$A$2:$A$49,products!$E$2:$E$49,0)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_xlfn.XLOOKUP(orders!C961,customers!$A$1:$A$1001,customers!$G$1:$G$1001,0)</f>
        <v>United States</v>
      </c>
      <c r="I961" t="str">
        <f>_xlfn.XLOOKUP(D961,products!$A$2:$A$49,products!$B$2:$B$49,0)</f>
        <v>Lib</v>
      </c>
      <c r="J961" t="str">
        <f>_xlfn.XLOOKUP(D961,products!$A$2:$A$49,products!$C$2:$C$49,0)</f>
        <v>L</v>
      </c>
      <c r="K961" s="4">
        <f>_xlfn.XLOOKUP(D961,products!$A$2:$A$49,products!$D$2:$D$49,0)</f>
        <v>0.2</v>
      </c>
      <c r="L961" s="5">
        <f>_xlfn.XLOOKUP(D961,products!$A$2:$A$49,products!$E$2:$E$49,0)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_xlfn.XLOOKUP(orders!C962,customers!$A$1:$A$1001,customers!$G$1:$G$1001,0)</f>
        <v>United States</v>
      </c>
      <c r="I962" t="str">
        <f>_xlfn.XLOOKUP(D962,products!$A$2:$A$49,products!$B$2:$B$49,0)</f>
        <v>Lib</v>
      </c>
      <c r="J962" t="str">
        <f>_xlfn.XLOOKUP(D962,products!$A$2:$A$49,products!$C$2:$C$49,0)</f>
        <v>L</v>
      </c>
      <c r="K962" s="4">
        <f>_xlfn.XLOOKUP(D962,products!$A$2:$A$49,products!$D$2:$D$49,0)</f>
        <v>1</v>
      </c>
      <c r="L962" s="5">
        <f>_xlfn.XLOOKUP(D962,products!$A$2:$A$49,products!$E$2:$E$49,0)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_xlfn.XLOOKUP(orders!C963,customers!$A$1:$A$1001,customers!$G$1:$G$1001,0)</f>
        <v>United States</v>
      </c>
      <c r="I963" t="str">
        <f>_xlfn.XLOOKUP(D963,products!$A$2:$A$49,products!$B$2:$B$49,0)</f>
        <v>Ara</v>
      </c>
      <c r="J963" t="str">
        <f>_xlfn.XLOOKUP(D963,products!$A$2:$A$49,products!$C$2:$C$49,0)</f>
        <v>D</v>
      </c>
      <c r="K963" s="4">
        <f>_xlfn.XLOOKUP(D963,products!$A$2:$A$49,products!$D$2:$D$49,0)</f>
        <v>2.5</v>
      </c>
      <c r="L963" s="5">
        <f>_xlfn.XLOOKUP(D963,products!$A$2:$A$49,products!$E$2:$E$49,0)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_xlfn.XLOOKUP(orders!C964,customers!$A$1:$A$1001,customers!$G$1:$G$1001,0)</f>
        <v>Ireland</v>
      </c>
      <c r="I964" t="str">
        <f>_xlfn.XLOOKUP(D964,products!$A$2:$A$49,products!$B$2:$B$49,0)</f>
        <v>Rob</v>
      </c>
      <c r="J964" t="str">
        <f>_xlfn.XLOOKUP(D964,products!$A$2:$A$49,products!$C$2:$C$49,0)</f>
        <v>D</v>
      </c>
      <c r="K964" s="4">
        <f>_xlfn.XLOOKUP(D964,products!$A$2:$A$49,products!$D$2:$D$49,0)</f>
        <v>1</v>
      </c>
      <c r="L964" s="5">
        <f>_xlfn.XLOOKUP(D964,products!$A$2:$A$49,products!$E$2:$E$49,0)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_xlfn.XLOOKUP(orders!C965,customers!$A$1:$A$1001,customers!$G$1:$G$1001,0)</f>
        <v>United States</v>
      </c>
      <c r="I965" t="str">
        <f>_xlfn.XLOOKUP(D965,products!$A$2:$A$49,products!$B$2:$B$49,0)</f>
        <v>Rob</v>
      </c>
      <c r="J965" t="str">
        <f>_xlfn.XLOOKUP(D965,products!$A$2:$A$49,products!$C$2:$C$49,0)</f>
        <v>M</v>
      </c>
      <c r="K965" s="4">
        <f>_xlfn.XLOOKUP(D965,products!$A$2:$A$49,products!$D$2:$D$49,0)</f>
        <v>0.5</v>
      </c>
      <c r="L965" s="5">
        <f>_xlfn.XLOOKUP(D965,products!$A$2:$A$49,products!$E$2:$E$49,0)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_xlfn.XLOOKUP(orders!C966,customers!$A$1:$A$1001,customers!$G$1:$G$1001,0)</f>
        <v>United States</v>
      </c>
      <c r="I966" t="str">
        <f>_xlfn.XLOOKUP(D966,products!$A$2:$A$49,products!$B$2:$B$49,0)</f>
        <v>Exc</v>
      </c>
      <c r="J966" t="str">
        <f>_xlfn.XLOOKUP(D966,products!$A$2:$A$49,products!$C$2:$C$49,0)</f>
        <v>L</v>
      </c>
      <c r="K966" s="4">
        <f>_xlfn.XLOOKUP(D966,products!$A$2:$A$49,products!$D$2:$D$49,0)</f>
        <v>0.2</v>
      </c>
      <c r="L966" s="5">
        <f>_xlfn.XLOOKUP(D966,products!$A$2:$A$49,products!$E$2:$E$49,0)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_xlfn.XLOOKUP(orders!C967,customers!$A$1:$A$1001,customers!$G$1:$G$1001,0)</f>
        <v>United States</v>
      </c>
      <c r="I967" t="str">
        <f>_xlfn.XLOOKUP(D967,products!$A$2:$A$49,products!$B$2:$B$49,0)</f>
        <v>Rob</v>
      </c>
      <c r="J967" t="str">
        <f>_xlfn.XLOOKUP(D967,products!$A$2:$A$49,products!$C$2:$C$49,0)</f>
        <v>M</v>
      </c>
      <c r="K967" s="4">
        <f>_xlfn.XLOOKUP(D967,products!$A$2:$A$49,products!$D$2:$D$49,0)</f>
        <v>1</v>
      </c>
      <c r="L967" s="5">
        <f>_xlfn.XLOOKUP(D967,products!$A$2:$A$49,products!$E$2:$E$49,0)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_xlfn.XLOOKUP(orders!C968,customers!$A$1:$A$1001,customers!$G$1:$G$1001,0)</f>
        <v>United States</v>
      </c>
      <c r="I968" t="str">
        <f>_xlfn.XLOOKUP(D968,products!$A$2:$A$49,products!$B$2:$B$49,0)</f>
        <v>Exc</v>
      </c>
      <c r="J968" t="str">
        <f>_xlfn.XLOOKUP(D968,products!$A$2:$A$49,products!$C$2:$C$49,0)</f>
        <v>L</v>
      </c>
      <c r="K968" s="4">
        <f>_xlfn.XLOOKUP(D968,products!$A$2:$A$49,products!$D$2:$D$49,0)</f>
        <v>0.5</v>
      </c>
      <c r="L968" s="5">
        <f>_xlfn.XLOOKUP(D968,products!$A$2:$A$49,products!$E$2:$E$49,0)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_xlfn.XLOOKUP(orders!C969,customers!$A$1:$A$1001,customers!$G$1:$G$1001,0)</f>
        <v>Ireland</v>
      </c>
      <c r="I969" t="str">
        <f>_xlfn.XLOOKUP(D969,products!$A$2:$A$49,products!$B$2:$B$49,0)</f>
        <v>Rob</v>
      </c>
      <c r="J969" t="str">
        <f>_xlfn.XLOOKUP(D969,products!$A$2:$A$49,products!$C$2:$C$49,0)</f>
        <v>D</v>
      </c>
      <c r="K969" s="4">
        <f>_xlfn.XLOOKUP(D969,products!$A$2:$A$49,products!$D$2:$D$49,0)</f>
        <v>0.2</v>
      </c>
      <c r="L969" s="5">
        <f>_xlfn.XLOOKUP(D969,products!$A$2:$A$49,products!$E$2:$E$49,0)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_xlfn.XLOOKUP(orders!C970,customers!$A$1:$A$1001,customers!$G$1:$G$1001,0)</f>
        <v>United States</v>
      </c>
      <c r="I970" t="str">
        <f>_xlfn.XLOOKUP(D970,products!$A$2:$A$49,products!$B$2:$B$49,0)</f>
        <v>Rob</v>
      </c>
      <c r="J970" t="str">
        <f>_xlfn.XLOOKUP(D970,products!$A$2:$A$49,products!$C$2:$C$49,0)</f>
        <v>M</v>
      </c>
      <c r="K970" s="4">
        <f>_xlfn.XLOOKUP(D970,products!$A$2:$A$49,products!$D$2:$D$49,0)</f>
        <v>0.2</v>
      </c>
      <c r="L970" s="5">
        <f>_xlfn.XLOOKUP(D970,products!$A$2:$A$49,products!$E$2:$E$49,0)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_xlfn.XLOOKUP(orders!C971,customers!$A$1:$A$1001,customers!$G$1:$G$1001,0)</f>
        <v>United States</v>
      </c>
      <c r="I971" t="str">
        <f>_xlfn.XLOOKUP(D971,products!$A$2:$A$49,products!$B$2:$B$49,0)</f>
        <v>Lib</v>
      </c>
      <c r="J971" t="str">
        <f>_xlfn.XLOOKUP(D971,products!$A$2:$A$49,products!$C$2:$C$49,0)</f>
        <v>D</v>
      </c>
      <c r="K971" s="4">
        <f>_xlfn.XLOOKUP(D971,products!$A$2:$A$49,products!$D$2:$D$49,0)</f>
        <v>1</v>
      </c>
      <c r="L971" s="5">
        <f>_xlfn.XLOOKUP(D971,products!$A$2:$A$49,products!$E$2:$E$49,0)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_xlfn.XLOOKUP(orders!C972,customers!$A$1:$A$1001,customers!$G$1:$G$1001,0)</f>
        <v>United States</v>
      </c>
      <c r="I972" t="str">
        <f>_xlfn.XLOOKUP(D972,products!$A$2:$A$49,products!$B$2:$B$49,0)</f>
        <v>Exc</v>
      </c>
      <c r="J972" t="str">
        <f>_xlfn.XLOOKUP(D972,products!$A$2:$A$49,products!$C$2:$C$49,0)</f>
        <v>M</v>
      </c>
      <c r="K972" s="4">
        <f>_xlfn.XLOOKUP(D972,products!$A$2:$A$49,products!$D$2:$D$49,0)</f>
        <v>0.5</v>
      </c>
      <c r="L972" s="5">
        <f>_xlfn.XLOOKUP(D972,products!$A$2:$A$49,products!$E$2:$E$49,0)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_xlfn.XLOOKUP(orders!C973,customers!$A$1:$A$1001,customers!$G$1:$G$1001,0)</f>
        <v>United States</v>
      </c>
      <c r="I973" t="str">
        <f>_xlfn.XLOOKUP(D973,products!$A$2:$A$49,products!$B$2:$B$49,0)</f>
        <v>Ara</v>
      </c>
      <c r="J973" t="str">
        <f>_xlfn.XLOOKUP(D973,products!$A$2:$A$49,products!$C$2:$C$49,0)</f>
        <v>L</v>
      </c>
      <c r="K973" s="4">
        <f>_xlfn.XLOOKUP(D973,products!$A$2:$A$49,products!$D$2:$D$49,0)</f>
        <v>2.5</v>
      </c>
      <c r="L973" s="5">
        <f>_xlfn.XLOOKUP(D973,products!$A$2:$A$49,products!$E$2:$E$49,0)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_xlfn.XLOOKUP(orders!C974,customers!$A$1:$A$1001,customers!$G$1:$G$1001,0)</f>
        <v>Ireland</v>
      </c>
      <c r="I974" t="str">
        <f>_xlfn.XLOOKUP(D974,products!$A$2:$A$49,products!$B$2:$B$49,0)</f>
        <v>Ara</v>
      </c>
      <c r="J974" t="str">
        <f>_xlfn.XLOOKUP(D974,products!$A$2:$A$49,products!$C$2:$C$49,0)</f>
        <v>L</v>
      </c>
      <c r="K974" s="4">
        <f>_xlfn.XLOOKUP(D974,products!$A$2:$A$49,products!$D$2:$D$49,0)</f>
        <v>2.5</v>
      </c>
      <c r="L974" s="5">
        <f>_xlfn.XLOOKUP(D974,products!$A$2:$A$49,products!$E$2:$E$49,0)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_xlfn.XLOOKUP(orders!C975,customers!$A$1:$A$1001,customers!$G$1:$G$1001,0)</f>
        <v>United States</v>
      </c>
      <c r="I975" t="str">
        <f>_xlfn.XLOOKUP(D975,products!$A$2:$A$49,products!$B$2:$B$49,0)</f>
        <v>Lib</v>
      </c>
      <c r="J975" t="str">
        <f>_xlfn.XLOOKUP(D975,products!$A$2:$A$49,products!$C$2:$C$49,0)</f>
        <v>M</v>
      </c>
      <c r="K975" s="4">
        <f>_xlfn.XLOOKUP(D975,products!$A$2:$A$49,products!$D$2:$D$49,0)</f>
        <v>1</v>
      </c>
      <c r="L975" s="5">
        <f>_xlfn.XLOOKUP(D975,products!$A$2:$A$49,products!$E$2:$E$49,0)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_xlfn.XLOOKUP(orders!C976,customers!$A$1:$A$1001,customers!$G$1:$G$1001,0)</f>
        <v>United States</v>
      </c>
      <c r="I976" t="str">
        <f>_xlfn.XLOOKUP(D976,products!$A$2:$A$49,products!$B$2:$B$49,0)</f>
        <v>Rob</v>
      </c>
      <c r="J976" t="str">
        <f>_xlfn.XLOOKUP(D976,products!$A$2:$A$49,products!$C$2:$C$49,0)</f>
        <v>D</v>
      </c>
      <c r="K976" s="4">
        <f>_xlfn.XLOOKUP(D976,products!$A$2:$A$49,products!$D$2:$D$49,0)</f>
        <v>0.5</v>
      </c>
      <c r="L976" s="5">
        <f>_xlfn.XLOOKUP(D976,products!$A$2:$A$49,products!$E$2:$E$49,0)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_xlfn.XLOOKUP(orders!C977,customers!$A$1:$A$1001,customers!$G$1:$G$1001,0)</f>
        <v>Ireland</v>
      </c>
      <c r="I977" t="str">
        <f>_xlfn.XLOOKUP(D977,products!$A$2:$A$49,products!$B$2:$B$49,0)</f>
        <v>Ara</v>
      </c>
      <c r="J977" t="str">
        <f>_xlfn.XLOOKUP(D977,products!$A$2:$A$49,products!$C$2:$C$49,0)</f>
        <v>D</v>
      </c>
      <c r="K977" s="4">
        <f>_xlfn.XLOOKUP(D977,products!$A$2:$A$49,products!$D$2:$D$49,0)</f>
        <v>0.2</v>
      </c>
      <c r="L977" s="5">
        <f>_xlfn.XLOOKUP(D977,products!$A$2:$A$49,products!$E$2:$E$49,0)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_xlfn.XLOOKUP(orders!C978,customers!$A$1:$A$1001,customers!$G$1:$G$1001,0)</f>
        <v>United States</v>
      </c>
      <c r="I978" t="str">
        <f>_xlfn.XLOOKUP(D978,products!$A$2:$A$49,products!$B$2:$B$49,0)</f>
        <v>Rob</v>
      </c>
      <c r="J978" t="str">
        <f>_xlfn.XLOOKUP(D978,products!$A$2:$A$49,products!$C$2:$C$49,0)</f>
        <v>L</v>
      </c>
      <c r="K978" s="4">
        <f>_xlfn.XLOOKUP(D978,products!$A$2:$A$49,products!$D$2:$D$49,0)</f>
        <v>2.5</v>
      </c>
      <c r="L978" s="5">
        <f>_xlfn.XLOOKUP(D978,products!$A$2:$A$49,products!$E$2:$E$49,0)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_xlfn.XLOOKUP(orders!C979,customers!$A$1:$A$1001,customers!$G$1:$G$1001,0)</f>
        <v>United States</v>
      </c>
      <c r="I979" t="str">
        <f>_xlfn.XLOOKUP(D979,products!$A$2:$A$49,products!$B$2:$B$49,0)</f>
        <v>Rob</v>
      </c>
      <c r="J979" t="str">
        <f>_xlfn.XLOOKUP(D979,products!$A$2:$A$49,products!$C$2:$C$49,0)</f>
        <v>L</v>
      </c>
      <c r="K979" s="4">
        <f>_xlfn.XLOOKUP(D979,products!$A$2:$A$49,products!$D$2:$D$49,0)</f>
        <v>1</v>
      </c>
      <c r="L979" s="5">
        <f>_xlfn.XLOOKUP(D979,products!$A$2:$A$49,products!$E$2:$E$49,0)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_xlfn.XLOOKUP(orders!C980,customers!$A$1:$A$1001,customers!$G$1:$G$1001,0)</f>
        <v>United States</v>
      </c>
      <c r="I980" t="str">
        <f>_xlfn.XLOOKUP(D980,products!$A$2:$A$49,products!$B$2:$B$49,0)</f>
        <v>Ara</v>
      </c>
      <c r="J980" t="str">
        <f>_xlfn.XLOOKUP(D980,products!$A$2:$A$49,products!$C$2:$C$49,0)</f>
        <v>L</v>
      </c>
      <c r="K980" s="4">
        <f>_xlfn.XLOOKUP(D980,products!$A$2:$A$49,products!$D$2:$D$49,0)</f>
        <v>0.5</v>
      </c>
      <c r="L980" s="5">
        <f>_xlfn.XLOOKUP(D980,products!$A$2:$A$49,products!$E$2:$E$49,0)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_xlfn.XLOOKUP(orders!C981,customers!$A$1:$A$1001,customers!$G$1:$G$1001,0)</f>
        <v>United States</v>
      </c>
      <c r="I981" t="str">
        <f>_xlfn.XLOOKUP(D981,products!$A$2:$A$49,products!$B$2:$B$49,0)</f>
        <v>Rob</v>
      </c>
      <c r="J981" t="str">
        <f>_xlfn.XLOOKUP(D981,products!$A$2:$A$49,products!$C$2:$C$49,0)</f>
        <v>D</v>
      </c>
      <c r="K981" s="4">
        <f>_xlfn.XLOOKUP(D981,products!$A$2:$A$49,products!$D$2:$D$49,0)</f>
        <v>0.5</v>
      </c>
      <c r="L981" s="5">
        <f>_xlfn.XLOOKUP(D981,products!$A$2:$A$49,products!$E$2:$E$49,0)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_xlfn.XLOOKUP(orders!C982,customers!$A$1:$A$1001,customers!$G$1:$G$1001,0)</f>
        <v>United States</v>
      </c>
      <c r="I982" t="str">
        <f>_xlfn.XLOOKUP(D982,products!$A$2:$A$49,products!$B$2:$B$49,0)</f>
        <v>Exc</v>
      </c>
      <c r="J982" t="str">
        <f>_xlfn.XLOOKUP(D982,products!$A$2:$A$49,products!$C$2:$C$49,0)</f>
        <v>D</v>
      </c>
      <c r="K982" s="4">
        <f>_xlfn.XLOOKUP(D982,products!$A$2:$A$49,products!$D$2:$D$49,0)</f>
        <v>2.5</v>
      </c>
      <c r="L982" s="5">
        <f>_xlfn.XLOOKUP(D982,products!$A$2:$A$49,products!$E$2:$E$49,0)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_xlfn.XLOOKUP(orders!C983,customers!$A$1:$A$1001,customers!$G$1:$G$1001,0)</f>
        <v>United States</v>
      </c>
      <c r="I983" t="str">
        <f>_xlfn.XLOOKUP(D983,products!$A$2:$A$49,products!$B$2:$B$49,0)</f>
        <v>Exc</v>
      </c>
      <c r="J983" t="str">
        <f>_xlfn.XLOOKUP(D983,products!$A$2:$A$49,products!$C$2:$C$49,0)</f>
        <v>D</v>
      </c>
      <c r="K983" s="4">
        <f>_xlfn.XLOOKUP(D983,products!$A$2:$A$49,products!$D$2:$D$49,0)</f>
        <v>0.2</v>
      </c>
      <c r="L983" s="5">
        <f>_xlfn.XLOOKUP(D983,products!$A$2:$A$49,products!$E$2:$E$49,0)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_xlfn.XLOOKUP(orders!C984,customers!$A$1:$A$1001,customers!$G$1:$G$1001,0)</f>
        <v>United States</v>
      </c>
      <c r="I984" t="str">
        <f>_xlfn.XLOOKUP(D984,products!$A$2:$A$49,products!$B$2:$B$49,0)</f>
        <v>Rob</v>
      </c>
      <c r="J984" t="str">
        <f>_xlfn.XLOOKUP(D984,products!$A$2:$A$49,products!$C$2:$C$49,0)</f>
        <v>L</v>
      </c>
      <c r="K984" s="4">
        <f>_xlfn.XLOOKUP(D984,products!$A$2:$A$49,products!$D$2:$D$49,0)</f>
        <v>1</v>
      </c>
      <c r="L984" s="5">
        <f>_xlfn.XLOOKUP(D984,products!$A$2:$A$49,products!$E$2:$E$49,0)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_xlfn.XLOOKUP(orders!C985,customers!$A$1:$A$1001,customers!$G$1:$G$1001,0)</f>
        <v>United States</v>
      </c>
      <c r="I985" t="str">
        <f>_xlfn.XLOOKUP(D985,products!$A$2:$A$49,products!$B$2:$B$49,0)</f>
        <v>Ara</v>
      </c>
      <c r="J985" t="str">
        <f>_xlfn.XLOOKUP(D985,products!$A$2:$A$49,products!$C$2:$C$49,0)</f>
        <v>M</v>
      </c>
      <c r="K985" s="4">
        <f>_xlfn.XLOOKUP(D985,products!$A$2:$A$49,products!$D$2:$D$49,0)</f>
        <v>0.2</v>
      </c>
      <c r="L985" s="5">
        <f>_xlfn.XLOOKUP(D985,products!$A$2:$A$49,products!$E$2:$E$49,0)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_xlfn.XLOOKUP(orders!C986,customers!$A$1:$A$1001,customers!$G$1:$G$1001,0)</f>
        <v>Ireland</v>
      </c>
      <c r="I986" t="str">
        <f>_xlfn.XLOOKUP(D986,products!$A$2:$A$49,products!$B$2:$B$49,0)</f>
        <v>Exc</v>
      </c>
      <c r="J986" t="str">
        <f>_xlfn.XLOOKUP(D986,products!$A$2:$A$49,products!$C$2:$C$49,0)</f>
        <v>M</v>
      </c>
      <c r="K986" s="4">
        <f>_xlfn.XLOOKUP(D986,products!$A$2:$A$49,products!$D$2:$D$49,0)</f>
        <v>2.5</v>
      </c>
      <c r="L986" s="5">
        <f>_xlfn.XLOOKUP(D986,products!$A$2:$A$49,products!$E$2:$E$49,0)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_xlfn.XLOOKUP(orders!C987,customers!$A$1:$A$1001,customers!$G$1:$G$1001,0)</f>
        <v>United States</v>
      </c>
      <c r="I987" t="str">
        <f>_xlfn.XLOOKUP(D987,products!$A$2:$A$49,products!$B$2:$B$49,0)</f>
        <v>Rob</v>
      </c>
      <c r="J987" t="str">
        <f>_xlfn.XLOOKUP(D987,products!$A$2:$A$49,products!$C$2:$C$49,0)</f>
        <v>L</v>
      </c>
      <c r="K987" s="4">
        <f>_xlfn.XLOOKUP(D987,products!$A$2:$A$49,products!$D$2:$D$49,0)</f>
        <v>1</v>
      </c>
      <c r="L987" s="5">
        <f>_xlfn.XLOOKUP(D987,products!$A$2:$A$49,products!$E$2:$E$49,0)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_xlfn.XLOOKUP(orders!C988,customers!$A$1:$A$1001,customers!$G$1:$G$1001,0)</f>
        <v>United States</v>
      </c>
      <c r="I988" t="str">
        <f>_xlfn.XLOOKUP(D988,products!$A$2:$A$49,products!$B$2:$B$49,0)</f>
        <v>Lib</v>
      </c>
      <c r="J988" t="str">
        <f>_xlfn.XLOOKUP(D988,products!$A$2:$A$49,products!$C$2:$C$49,0)</f>
        <v>M</v>
      </c>
      <c r="K988" s="4">
        <f>_xlfn.XLOOKUP(D988,products!$A$2:$A$49,products!$D$2:$D$49,0)</f>
        <v>2.5</v>
      </c>
      <c r="L988" s="5">
        <f>_xlfn.XLOOKUP(D988,products!$A$2:$A$49,products!$E$2:$E$49,0)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_xlfn.XLOOKUP(orders!C989,customers!$A$1:$A$1001,customers!$G$1:$G$1001,0)</f>
        <v>United Kingdom</v>
      </c>
      <c r="I989" t="str">
        <f>_xlfn.XLOOKUP(D989,products!$A$2:$A$49,products!$B$2:$B$49,0)</f>
        <v>Ara</v>
      </c>
      <c r="J989" t="str">
        <f>_xlfn.XLOOKUP(D989,products!$A$2:$A$49,products!$C$2:$C$49,0)</f>
        <v>D</v>
      </c>
      <c r="K989" s="4">
        <f>_xlfn.XLOOKUP(D989,products!$A$2:$A$49,products!$D$2:$D$49,0)</f>
        <v>0.5</v>
      </c>
      <c r="L989" s="5">
        <f>_xlfn.XLOOKUP(D989,products!$A$2:$A$49,products!$E$2:$E$49,0)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_xlfn.XLOOKUP(orders!C990,customers!$A$1:$A$1001,customers!$G$1:$G$1001,0)</f>
        <v>United Kingdom</v>
      </c>
      <c r="I990" t="str">
        <f>_xlfn.XLOOKUP(D990,products!$A$2:$A$49,products!$B$2:$B$49,0)</f>
        <v>Rob</v>
      </c>
      <c r="J990" t="str">
        <f>_xlfn.XLOOKUP(D990,products!$A$2:$A$49,products!$C$2:$C$49,0)</f>
        <v>M</v>
      </c>
      <c r="K990" s="4">
        <f>_xlfn.XLOOKUP(D990,products!$A$2:$A$49,products!$D$2:$D$49,0)</f>
        <v>1</v>
      </c>
      <c r="L990" s="5">
        <f>_xlfn.XLOOKUP(D990,products!$A$2:$A$49,products!$E$2:$E$49,0)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_xlfn.XLOOKUP(orders!C991,customers!$A$1:$A$1001,customers!$G$1:$G$1001,0)</f>
        <v>United States</v>
      </c>
      <c r="I991" t="str">
        <f>_xlfn.XLOOKUP(D991,products!$A$2:$A$49,products!$B$2:$B$49,0)</f>
        <v>Ara</v>
      </c>
      <c r="J991" t="str">
        <f>_xlfn.XLOOKUP(D991,products!$A$2:$A$49,products!$C$2:$C$49,0)</f>
        <v>M</v>
      </c>
      <c r="K991" s="4">
        <f>_xlfn.XLOOKUP(D991,products!$A$2:$A$49,products!$D$2:$D$49,0)</f>
        <v>2.5</v>
      </c>
      <c r="L991" s="5">
        <f>_xlfn.XLOOKUP(D991,products!$A$2:$A$49,products!$E$2:$E$49,0)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_xlfn.XLOOKUP(orders!C992,customers!$A$1:$A$1001,customers!$G$1:$G$1001,0)</f>
        <v>United States</v>
      </c>
      <c r="I992" t="str">
        <f>_xlfn.XLOOKUP(D992,products!$A$2:$A$49,products!$B$2:$B$49,0)</f>
        <v>Exc</v>
      </c>
      <c r="J992" t="str">
        <f>_xlfn.XLOOKUP(D992,products!$A$2:$A$49,products!$C$2:$C$49,0)</f>
        <v>D</v>
      </c>
      <c r="K992" s="4">
        <f>_xlfn.XLOOKUP(D992,products!$A$2:$A$49,products!$D$2:$D$49,0)</f>
        <v>0.2</v>
      </c>
      <c r="L992" s="5">
        <f>_xlfn.XLOOKUP(D992,products!$A$2:$A$49,products!$E$2:$E$49,0)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_xlfn.XLOOKUP(orders!C993,customers!$A$1:$A$1001,customers!$G$1:$G$1001,0)</f>
        <v>United States</v>
      </c>
      <c r="I993" t="str">
        <f>_xlfn.XLOOKUP(D993,products!$A$2:$A$49,products!$B$2:$B$49,0)</f>
        <v>Lib</v>
      </c>
      <c r="J993" t="str">
        <f>_xlfn.XLOOKUP(D993,products!$A$2:$A$49,products!$C$2:$C$49,0)</f>
        <v>D</v>
      </c>
      <c r="K993" s="4">
        <f>_xlfn.XLOOKUP(D993,products!$A$2:$A$49,products!$D$2:$D$49,0)</f>
        <v>0.5</v>
      </c>
      <c r="L993" s="5">
        <f>_xlfn.XLOOKUP(D993,products!$A$2:$A$49,products!$E$2:$E$49,0)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_xlfn.XLOOKUP(orders!C994,customers!$A$1:$A$1001,customers!$G$1:$G$1001,0)</f>
        <v>Ireland</v>
      </c>
      <c r="I994" t="str">
        <f>_xlfn.XLOOKUP(D994,products!$A$2:$A$49,products!$B$2:$B$49,0)</f>
        <v>Lib</v>
      </c>
      <c r="J994" t="str">
        <f>_xlfn.XLOOKUP(D994,products!$A$2:$A$49,products!$C$2:$C$49,0)</f>
        <v>L</v>
      </c>
      <c r="K994" s="4">
        <f>_xlfn.XLOOKUP(D994,products!$A$2:$A$49,products!$D$2:$D$49,0)</f>
        <v>2.5</v>
      </c>
      <c r="L994" s="5">
        <f>_xlfn.XLOOKUP(D994,products!$A$2:$A$49,products!$E$2:$E$49,0)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_xlfn.XLOOKUP(orders!C995,customers!$A$1:$A$1001,customers!$G$1:$G$1001,0)</f>
        <v>United States</v>
      </c>
      <c r="I995" t="str">
        <f>_xlfn.XLOOKUP(D995,products!$A$2:$A$49,products!$B$2:$B$49,0)</f>
        <v>Ara</v>
      </c>
      <c r="J995" t="str">
        <f>_xlfn.XLOOKUP(D995,products!$A$2:$A$49,products!$C$2:$C$49,0)</f>
        <v>L</v>
      </c>
      <c r="K995" s="4">
        <f>_xlfn.XLOOKUP(D995,products!$A$2:$A$49,products!$D$2:$D$49,0)</f>
        <v>1</v>
      </c>
      <c r="L995" s="5">
        <f>_xlfn.XLOOKUP(D995,products!$A$2:$A$49,products!$E$2:$E$49,0)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_xlfn.XLOOKUP(orders!C996,customers!$A$1:$A$1001,customers!$G$1:$G$1001,0)</f>
        <v>Ireland</v>
      </c>
      <c r="I996" t="str">
        <f>_xlfn.XLOOKUP(D996,products!$A$2:$A$49,products!$B$2:$B$49,0)</f>
        <v>Ara</v>
      </c>
      <c r="J996" t="str">
        <f>_xlfn.XLOOKUP(D996,products!$A$2:$A$49,products!$C$2:$C$49,0)</f>
        <v>D</v>
      </c>
      <c r="K996" s="4">
        <f>_xlfn.XLOOKUP(D996,products!$A$2:$A$49,products!$D$2:$D$49,0)</f>
        <v>0.2</v>
      </c>
      <c r="L996" s="5">
        <f>_xlfn.XLOOKUP(D996,products!$A$2:$A$49,products!$E$2:$E$49,0)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_xlfn.XLOOKUP(orders!C997,customers!$A$1:$A$1001,customers!$G$1:$G$1001,0)</f>
        <v>United States</v>
      </c>
      <c r="I997" t="str">
        <f>_xlfn.XLOOKUP(D997,products!$A$2:$A$49,products!$B$2:$B$49,0)</f>
        <v>Rob</v>
      </c>
      <c r="J997" t="str">
        <f>_xlfn.XLOOKUP(D997,products!$A$2:$A$49,products!$C$2:$C$49,0)</f>
        <v>L</v>
      </c>
      <c r="K997" s="4">
        <f>_xlfn.XLOOKUP(D997,products!$A$2:$A$49,products!$D$2:$D$49,0)</f>
        <v>2.5</v>
      </c>
      <c r="L997" s="5">
        <f>_xlfn.XLOOKUP(D997,products!$A$2:$A$49,products!$E$2:$E$49,0)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_xlfn.XLOOKUP(orders!C998,customers!$A$1:$A$1001,customers!$G$1:$G$1001,0)</f>
        <v>United States</v>
      </c>
      <c r="I998" t="str">
        <f>_xlfn.XLOOKUP(D998,products!$A$2:$A$49,products!$B$2:$B$49,0)</f>
        <v>Rob</v>
      </c>
      <c r="J998" t="str">
        <f>_xlfn.XLOOKUP(D998,products!$A$2:$A$49,products!$C$2:$C$49,0)</f>
        <v>M</v>
      </c>
      <c r="K998" s="4">
        <f>_xlfn.XLOOKUP(D998,products!$A$2:$A$49,products!$D$2:$D$49,0)</f>
        <v>0.5</v>
      </c>
      <c r="L998" s="5">
        <f>_xlfn.XLOOKUP(D998,products!$A$2:$A$49,products!$E$2:$E$49,0)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_xlfn.XLOOKUP(orders!C999,customers!$A$1:$A$1001,customers!$G$1:$G$1001,0)</f>
        <v>United States</v>
      </c>
      <c r="I999" t="str">
        <f>_xlfn.XLOOKUP(D999,products!$A$2:$A$49,products!$B$2:$B$49,0)</f>
        <v>Ara</v>
      </c>
      <c r="J999" t="str">
        <f>_xlfn.XLOOKUP(D999,products!$A$2:$A$49,products!$C$2:$C$49,0)</f>
        <v>M</v>
      </c>
      <c r="K999" s="4">
        <f>_xlfn.XLOOKUP(D999,products!$A$2:$A$49,products!$D$2:$D$49,0)</f>
        <v>0.5</v>
      </c>
      <c r="L999" s="5">
        <f>_xlfn.XLOOKUP(D999,products!$A$2:$A$49,products!$E$2:$E$49,0)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_xlfn.XLOOKUP(orders!C1000,customers!$A$1:$A$1001,customers!$G$1:$G$1001,0)</f>
        <v>United States</v>
      </c>
      <c r="I1000" t="str">
        <f>_xlfn.XLOOKUP(D1000,products!$A$2:$A$49,products!$B$2:$B$49,0)</f>
        <v>Ara</v>
      </c>
      <c r="J1000" t="str">
        <f>_xlfn.XLOOKUP(D1000,products!$A$2:$A$49,products!$C$2:$C$49,0)</f>
        <v>D</v>
      </c>
      <c r="K1000" s="4">
        <f>_xlfn.XLOOKUP(D1000,products!$A$2:$A$49,products!$D$2:$D$49,0)</f>
        <v>1</v>
      </c>
      <c r="L1000" s="5">
        <f>_xlfn.XLOOKUP(D1000,products!$A$2:$A$49,products!$E$2:$E$49,0)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_xlfn.XLOOKUP(orders!C1001,customers!$A$1:$A$1001,customers!$G$1:$G$1001,0)</f>
        <v>United Kingdom</v>
      </c>
      <c r="I1001" t="str">
        <f>_xlfn.XLOOKUP(D1001,products!$A$2:$A$49,products!$B$2:$B$49,0)</f>
        <v>Exc</v>
      </c>
      <c r="J1001" t="str">
        <f>_xlfn.XLOOKUP(D1001,products!$A$2:$A$49,products!$C$2:$C$49,0)</f>
        <v>M</v>
      </c>
      <c r="K1001" s="4">
        <f>_xlfn.XLOOKUP(D1001,products!$A$2:$A$49,products!$D$2:$D$49,0)</f>
        <v>0.2</v>
      </c>
      <c r="L1001" s="5">
        <f>_xlfn.XLOOKUP(D1001,products!$A$2:$A$49,products!$E$2:$E$49,0)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Chart</vt:lpstr>
      <vt:lpstr>Top Customer</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abdul haseeb</cp:lastModifiedBy>
  <cp:revision/>
  <dcterms:created xsi:type="dcterms:W3CDTF">2022-11-26T09:51:45Z</dcterms:created>
  <dcterms:modified xsi:type="dcterms:W3CDTF">2026-05-09T19:13:51Z</dcterms:modified>
  <cp:category/>
  <cp:contentStatus/>
</cp:coreProperties>
</file>